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jacob\Downloads\"/>
    </mc:Choice>
  </mc:AlternateContent>
  <xr:revisionPtr revIDLastSave="0" documentId="13_ncr:1_{88CB1FE8-B86A-40DA-8E5B-84CB1FFF9ECA}" xr6:coauthVersionLast="47" xr6:coauthVersionMax="47" xr10:uidLastSave="{00000000-0000-0000-0000-000000000000}"/>
  <bookViews>
    <workbookView xWindow="-120" yWindow="-120" windowWidth="29040" windowHeight="15720" firstSheet="1" activeTab="6" xr2:uid="{00000000-000D-0000-FFFF-FFFF00000000}"/>
  </bookViews>
  <sheets>
    <sheet name="Config" sheetId="7" r:id="rId1"/>
    <sheet name="Dashboard" sheetId="1" r:id="rId2"/>
    <sheet name="Demos" sheetId="6" r:id="rId3"/>
    <sheet name="ODC Cleanup" sheetId="2" r:id="rId4"/>
    <sheet name="Datastore Reclamation" sheetId="3" r:id="rId5"/>
    <sheet name="Retired VM Cleanup" sheetId="4" r:id="rId6"/>
    <sheet name="Zerto Scripts" sheetId="5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31" i="6" l="1"/>
  <c r="B131" i="6"/>
  <c r="C130" i="6"/>
  <c r="B130" i="6"/>
  <c r="D130" i="6" s="1"/>
  <c r="C129" i="6"/>
  <c r="B129" i="6"/>
  <c r="D129" i="6" s="1"/>
  <c r="C128" i="6"/>
  <c r="B128" i="6"/>
  <c r="D128" i="6" s="1"/>
  <c r="C127" i="6"/>
  <c r="B127" i="6"/>
  <c r="C126" i="6"/>
  <c r="B126" i="6"/>
  <c r="C125" i="6"/>
  <c r="B125" i="6"/>
  <c r="C124" i="6"/>
  <c r="B124" i="6"/>
  <c r="C123" i="6"/>
  <c r="B123" i="6"/>
  <c r="C122" i="6"/>
  <c r="B122" i="6"/>
  <c r="C121" i="6"/>
  <c r="B121" i="6"/>
  <c r="C120" i="6"/>
  <c r="B120" i="6"/>
  <c r="C119" i="6"/>
  <c r="B119" i="6"/>
  <c r="C118" i="6"/>
  <c r="B118" i="6"/>
  <c r="C117" i="6"/>
  <c r="B117" i="6"/>
  <c r="C116" i="6"/>
  <c r="B116" i="6"/>
  <c r="F212" i="6"/>
  <c r="E212" i="6" a="1"/>
  <c r="E212" i="6" s="1"/>
  <c r="D212" i="6"/>
  <c r="C212" i="6"/>
  <c r="B212" i="6"/>
  <c r="A212" i="6"/>
  <c r="F211" i="6"/>
  <c r="E211" i="6" a="1"/>
  <c r="E211" i="6" s="1"/>
  <c r="D211" i="6"/>
  <c r="C211" i="6"/>
  <c r="B211" i="6"/>
  <c r="A211" i="6"/>
  <c r="F210" i="6"/>
  <c r="E210" i="6" a="1"/>
  <c r="E210" i="6" s="1"/>
  <c r="D210" i="6"/>
  <c r="C210" i="6"/>
  <c r="B210" i="6"/>
  <c r="A210" i="6"/>
  <c r="F209" i="6"/>
  <c r="E209" i="6" a="1"/>
  <c r="E209" i="6" s="1"/>
  <c r="D209" i="6"/>
  <c r="C209" i="6"/>
  <c r="B209" i="6"/>
  <c r="A209" i="6"/>
  <c r="F208" i="6"/>
  <c r="E208" i="6" a="1"/>
  <c r="E208" i="6" s="1"/>
  <c r="D208" i="6"/>
  <c r="C208" i="6"/>
  <c r="B208" i="6"/>
  <c r="A208" i="6"/>
  <c r="F207" i="6"/>
  <c r="E207" i="6" a="1"/>
  <c r="E207" i="6" s="1"/>
  <c r="D207" i="6"/>
  <c r="C207" i="6"/>
  <c r="B207" i="6"/>
  <c r="A207" i="6"/>
  <c r="F206" i="6"/>
  <c r="E206" i="6" a="1"/>
  <c r="E206" i="6" s="1"/>
  <c r="D206" i="6"/>
  <c r="C206" i="6"/>
  <c r="B206" i="6"/>
  <c r="A206" i="6"/>
  <c r="F205" i="6"/>
  <c r="E205" i="6" a="1"/>
  <c r="E205" i="6" s="1"/>
  <c r="D205" i="6"/>
  <c r="C205" i="6"/>
  <c r="B205" i="6"/>
  <c r="A205" i="6"/>
  <c r="F204" i="6"/>
  <c r="E204" i="6" a="1"/>
  <c r="E204" i="6" s="1"/>
  <c r="D204" i="6"/>
  <c r="C204" i="6"/>
  <c r="B204" i="6"/>
  <c r="A204" i="6"/>
  <c r="F203" i="6"/>
  <c r="E203" i="6" a="1"/>
  <c r="E203" i="6" s="1"/>
  <c r="D203" i="6"/>
  <c r="C203" i="6"/>
  <c r="B203" i="6"/>
  <c r="A203" i="6"/>
  <c r="F202" i="6"/>
  <c r="E202" i="6" a="1"/>
  <c r="E202" i="6" s="1"/>
  <c r="D202" i="6"/>
  <c r="C202" i="6"/>
  <c r="B202" i="6"/>
  <c r="A202" i="6"/>
  <c r="F201" i="6"/>
  <c r="E201" i="6" a="1"/>
  <c r="E201" i="6" s="1"/>
  <c r="D201" i="6"/>
  <c r="C201" i="6"/>
  <c r="B201" i="6"/>
  <c r="A201" i="6"/>
  <c r="F200" i="6"/>
  <c r="E200" i="6" a="1"/>
  <c r="E200" i="6" s="1"/>
  <c r="D200" i="6"/>
  <c r="C200" i="6"/>
  <c r="B200" i="6"/>
  <c r="A200" i="6"/>
  <c r="F199" i="6"/>
  <c r="E199" i="6" a="1"/>
  <c r="E199" i="6" s="1"/>
  <c r="D199" i="6"/>
  <c r="C199" i="6"/>
  <c r="B199" i="6"/>
  <c r="A199" i="6"/>
  <c r="F198" i="6"/>
  <c r="E198" i="6" a="1"/>
  <c r="E198" i="6" s="1"/>
  <c r="D198" i="6"/>
  <c r="C198" i="6"/>
  <c r="B198" i="6"/>
  <c r="A198" i="6"/>
  <c r="F197" i="6"/>
  <c r="E197" i="6" a="1"/>
  <c r="E197" i="6" s="1"/>
  <c r="D197" i="6"/>
  <c r="C197" i="6"/>
  <c r="B197" i="6"/>
  <c r="A197" i="6"/>
  <c r="A196" i="6"/>
  <c r="A195" i="6"/>
  <c r="A194" i="6"/>
  <c r="A193" i="6"/>
  <c r="A131" i="6"/>
  <c r="A130" i="6"/>
  <c r="A129" i="6"/>
  <c r="A128" i="6"/>
  <c r="A127" i="6"/>
  <c r="A126" i="6"/>
  <c r="A125" i="6"/>
  <c r="A124" i="6"/>
  <c r="A123" i="6"/>
  <c r="A122" i="6"/>
  <c r="A121" i="6"/>
  <c r="A120" i="6"/>
  <c r="A119" i="6"/>
  <c r="A118" i="6"/>
  <c r="A117" i="6"/>
  <c r="A116" i="6"/>
  <c r="A115" i="6"/>
  <c r="A114" i="6"/>
  <c r="A113" i="6"/>
  <c r="A112" i="6"/>
  <c r="E188" i="6"/>
  <c r="D188" i="6"/>
  <c r="C188" i="6"/>
  <c r="B188" i="6"/>
  <c r="E187" i="6"/>
  <c r="D187" i="6"/>
  <c r="C187" i="6"/>
  <c r="B187" i="6"/>
  <c r="E186" i="6"/>
  <c r="D186" i="6"/>
  <c r="C186" i="6"/>
  <c r="B186" i="6"/>
  <c r="E185" i="6"/>
  <c r="D185" i="6"/>
  <c r="C185" i="6"/>
  <c r="B185" i="6"/>
  <c r="E184" i="6"/>
  <c r="D184" i="6"/>
  <c r="C184" i="6"/>
  <c r="B184" i="6"/>
  <c r="B10" i="7"/>
  <c r="J12" i="1"/>
  <c r="J13" i="1"/>
  <c r="J14" i="1"/>
  <c r="J15" i="1"/>
  <c r="J16" i="1"/>
  <c r="J17" i="1"/>
  <c r="K17" i="1"/>
  <c r="J18" i="1"/>
  <c r="K18" i="1"/>
  <c r="J19" i="1"/>
  <c r="K19" i="1"/>
  <c r="J20" i="1"/>
  <c r="K20" i="1"/>
  <c r="J21" i="1"/>
  <c r="K21" i="1"/>
  <c r="J22" i="1"/>
  <c r="K22" i="1"/>
  <c r="J23" i="1"/>
  <c r="K23" i="1"/>
  <c r="J24" i="1"/>
  <c r="K24" i="1"/>
  <c r="J25" i="1"/>
  <c r="K25" i="1"/>
  <c r="J26" i="1"/>
  <c r="K26" i="1"/>
  <c r="J27" i="1"/>
  <c r="K27" i="1"/>
  <c r="J28" i="1"/>
  <c r="K28" i="1"/>
  <c r="J29" i="1"/>
  <c r="K29" i="1"/>
  <c r="J30" i="1"/>
  <c r="K30" i="1"/>
  <c r="J31" i="1"/>
  <c r="R11" i="6"/>
  <c r="R12" i="6"/>
  <c r="R13" i="6"/>
  <c r="R14" i="6"/>
  <c r="R15" i="6"/>
  <c r="R16" i="6"/>
  <c r="S16" i="6"/>
  <c r="R17" i="6"/>
  <c r="R18" i="6"/>
  <c r="S18" i="6"/>
  <c r="R19" i="6"/>
  <c r="S19" i="6"/>
  <c r="R20" i="6"/>
  <c r="S20" i="6"/>
  <c r="R21" i="6"/>
  <c r="S21" i="6"/>
  <c r="R22" i="6"/>
  <c r="S22" i="6"/>
  <c r="R23" i="6"/>
  <c r="S23" i="6"/>
  <c r="R24" i="6"/>
  <c r="S24" i="6"/>
  <c r="R25" i="6"/>
  <c r="S25" i="6"/>
  <c r="R26" i="6"/>
  <c r="S26" i="6"/>
  <c r="R27" i="6"/>
  <c r="S27" i="6"/>
  <c r="R28" i="6"/>
  <c r="S28" i="6"/>
  <c r="R29" i="6"/>
  <c r="S29" i="6"/>
  <c r="R30" i="6"/>
  <c r="A160" i="6"/>
  <c r="A161" i="6"/>
  <c r="A162" i="6"/>
  <c r="A163" i="6"/>
  <c r="A164" i="6"/>
  <c r="A165" i="6"/>
  <c r="B165" i="6"/>
  <c r="C165" i="6"/>
  <c r="D165" i="6"/>
  <c r="E165" i="6"/>
  <c r="A166" i="6"/>
  <c r="A167" i="6"/>
  <c r="B167" i="6"/>
  <c r="C167" i="6"/>
  <c r="D167" i="6"/>
  <c r="E167" i="6"/>
  <c r="A168" i="6"/>
  <c r="B168" i="6"/>
  <c r="C168" i="6"/>
  <c r="D168" i="6"/>
  <c r="E168" i="6"/>
  <c r="A169" i="6"/>
  <c r="B169" i="6"/>
  <c r="C169" i="6"/>
  <c r="D169" i="6"/>
  <c r="E169" i="6"/>
  <c r="A170" i="6"/>
  <c r="B170" i="6"/>
  <c r="C170" i="6"/>
  <c r="D170" i="6"/>
  <c r="E170" i="6"/>
  <c r="A171" i="6"/>
  <c r="B171" i="6"/>
  <c r="C171" i="6"/>
  <c r="D171" i="6"/>
  <c r="E171" i="6"/>
  <c r="A172" i="6"/>
  <c r="B172" i="6"/>
  <c r="C172" i="6"/>
  <c r="D172" i="6"/>
  <c r="E172" i="6"/>
  <c r="A173" i="6"/>
  <c r="B173" i="6"/>
  <c r="C173" i="6"/>
  <c r="D173" i="6"/>
  <c r="E173" i="6"/>
  <c r="A174" i="6"/>
  <c r="B174" i="6"/>
  <c r="C174" i="6"/>
  <c r="D174" i="6"/>
  <c r="E174" i="6"/>
  <c r="A175" i="6"/>
  <c r="B175" i="6"/>
  <c r="C175" i="6"/>
  <c r="D175" i="6"/>
  <c r="E175" i="6"/>
  <c r="A176" i="6"/>
  <c r="B176" i="6"/>
  <c r="C176" i="6"/>
  <c r="D176" i="6"/>
  <c r="E176" i="6"/>
  <c r="A177" i="6"/>
  <c r="B177" i="6"/>
  <c r="C177" i="6"/>
  <c r="D177" i="6"/>
  <c r="E177" i="6"/>
  <c r="A178" i="6"/>
  <c r="B178" i="6"/>
  <c r="C178" i="6"/>
  <c r="D178" i="6"/>
  <c r="E178" i="6"/>
  <c r="A179" i="6"/>
  <c r="A136" i="6"/>
  <c r="A137" i="6"/>
  <c r="A138" i="6"/>
  <c r="A139" i="6"/>
  <c r="A140" i="6"/>
  <c r="A141" i="6"/>
  <c r="B141" i="6"/>
  <c r="C141" i="6"/>
  <c r="D141" i="6"/>
  <c r="E141" i="6" a="1"/>
  <c r="E141" i="6" s="1"/>
  <c r="A142" i="6"/>
  <c r="A143" i="6"/>
  <c r="B143" i="6"/>
  <c r="C143" i="6"/>
  <c r="D143" i="6"/>
  <c r="E143" i="6" a="1"/>
  <c r="E143" i="6" s="1"/>
  <c r="A144" i="6"/>
  <c r="B144" i="6"/>
  <c r="C144" i="6"/>
  <c r="D144" i="6"/>
  <c r="E144" i="6" a="1"/>
  <c r="E144" i="6" s="1"/>
  <c r="A145" i="6"/>
  <c r="B145" i="6"/>
  <c r="C145" i="6"/>
  <c r="D145" i="6"/>
  <c r="E145" i="6" a="1"/>
  <c r="E145" i="6" s="1"/>
  <c r="A146" i="6"/>
  <c r="B146" i="6"/>
  <c r="C146" i="6"/>
  <c r="D146" i="6"/>
  <c r="E146" i="6" a="1"/>
  <c r="E146" i="6" s="1"/>
  <c r="A147" i="6"/>
  <c r="B147" i="6"/>
  <c r="C147" i="6"/>
  <c r="D147" i="6"/>
  <c r="E147" i="6" a="1"/>
  <c r="E147" i="6" s="1"/>
  <c r="A148" i="6"/>
  <c r="B148" i="6"/>
  <c r="C148" i="6"/>
  <c r="D148" i="6"/>
  <c r="E148" i="6" a="1"/>
  <c r="E148" i="6" s="1"/>
  <c r="A149" i="6"/>
  <c r="B149" i="6"/>
  <c r="C149" i="6"/>
  <c r="D149" i="6"/>
  <c r="E149" i="6" a="1"/>
  <c r="E149" i="6" s="1"/>
  <c r="A150" i="6"/>
  <c r="B150" i="6"/>
  <c r="C150" i="6"/>
  <c r="D150" i="6"/>
  <c r="E150" i="6" a="1"/>
  <c r="E150" i="6" s="1"/>
  <c r="A151" i="6"/>
  <c r="B151" i="6"/>
  <c r="C151" i="6"/>
  <c r="D151" i="6"/>
  <c r="E151" i="6" a="1"/>
  <c r="E151" i="6" s="1"/>
  <c r="A152" i="6"/>
  <c r="B152" i="6"/>
  <c r="C152" i="6"/>
  <c r="D152" i="6"/>
  <c r="E152" i="6" a="1"/>
  <c r="E152" i="6" s="1"/>
  <c r="A153" i="6"/>
  <c r="B153" i="6"/>
  <c r="C153" i="6"/>
  <c r="D153" i="6"/>
  <c r="E153" i="6" a="1"/>
  <c r="E153" i="6" s="1"/>
  <c r="A154" i="6"/>
  <c r="B154" i="6"/>
  <c r="C154" i="6"/>
  <c r="D154" i="6"/>
  <c r="E154" i="6" a="1"/>
  <c r="E154" i="6" s="1"/>
  <c r="A155" i="6"/>
  <c r="A88" i="6"/>
  <c r="A89" i="6"/>
  <c r="A90" i="6"/>
  <c r="A91" i="6"/>
  <c r="A92" i="6"/>
  <c r="A93" i="6"/>
  <c r="B93" i="6"/>
  <c r="C93" i="6"/>
  <c r="D93" i="6"/>
  <c r="A94" i="6"/>
  <c r="A95" i="6"/>
  <c r="B95" i="6"/>
  <c r="C95" i="6"/>
  <c r="D95" i="6"/>
  <c r="A96" i="6"/>
  <c r="B96" i="6"/>
  <c r="C96" i="6"/>
  <c r="D96" i="6"/>
  <c r="A97" i="6"/>
  <c r="B97" i="6"/>
  <c r="C97" i="6"/>
  <c r="D97" i="6"/>
  <c r="A98" i="6"/>
  <c r="B98" i="6"/>
  <c r="C98" i="6"/>
  <c r="D98" i="6"/>
  <c r="A99" i="6"/>
  <c r="B99" i="6"/>
  <c r="C99" i="6"/>
  <c r="D99" i="6"/>
  <c r="A100" i="6"/>
  <c r="B100" i="6"/>
  <c r="C100" i="6"/>
  <c r="D100" i="6"/>
  <c r="A101" i="6"/>
  <c r="B101" i="6"/>
  <c r="C101" i="6"/>
  <c r="D101" i="6"/>
  <c r="A102" i="6"/>
  <c r="B102" i="6"/>
  <c r="C102" i="6"/>
  <c r="D102" i="6"/>
  <c r="A103" i="6"/>
  <c r="B103" i="6"/>
  <c r="C103" i="6"/>
  <c r="D103" i="6"/>
  <c r="A104" i="6"/>
  <c r="B104" i="6"/>
  <c r="C104" i="6"/>
  <c r="D104" i="6"/>
  <c r="A105" i="6"/>
  <c r="B105" i="6"/>
  <c r="C105" i="6"/>
  <c r="D105" i="6"/>
  <c r="A106" i="6"/>
  <c r="B106" i="6"/>
  <c r="C106" i="6"/>
  <c r="D106" i="6"/>
  <c r="A107" i="6"/>
  <c r="A64" i="6"/>
  <c r="A65" i="6"/>
  <c r="A66" i="6"/>
  <c r="A67" i="6"/>
  <c r="A68" i="6"/>
  <c r="A69" i="6"/>
  <c r="B69" i="6"/>
  <c r="C69" i="6"/>
  <c r="D69" i="6"/>
  <c r="E69" i="6"/>
  <c r="F69" i="6"/>
  <c r="A70" i="6"/>
  <c r="A71" i="6"/>
  <c r="B71" i="6"/>
  <c r="C71" i="6"/>
  <c r="D71" i="6"/>
  <c r="E71" i="6"/>
  <c r="F71" i="6"/>
  <c r="A72" i="6"/>
  <c r="B72" i="6"/>
  <c r="C72" i="6"/>
  <c r="D72" i="6"/>
  <c r="E72" i="6"/>
  <c r="F72" i="6"/>
  <c r="A73" i="6"/>
  <c r="B73" i="6"/>
  <c r="C73" i="6"/>
  <c r="D73" i="6"/>
  <c r="E73" i="6"/>
  <c r="F73" i="6"/>
  <c r="A74" i="6"/>
  <c r="B74" i="6"/>
  <c r="C74" i="6"/>
  <c r="D74" i="6"/>
  <c r="E74" i="6"/>
  <c r="F74" i="6"/>
  <c r="A75" i="6"/>
  <c r="B75" i="6"/>
  <c r="C75" i="6"/>
  <c r="D75" i="6"/>
  <c r="E75" i="6"/>
  <c r="F75" i="6"/>
  <c r="A76" i="6"/>
  <c r="B76" i="6"/>
  <c r="C76" i="6"/>
  <c r="D76" i="6"/>
  <c r="E76" i="6"/>
  <c r="F76" i="6"/>
  <c r="A77" i="6"/>
  <c r="B77" i="6"/>
  <c r="C77" i="6"/>
  <c r="D77" i="6"/>
  <c r="E77" i="6"/>
  <c r="F77" i="6"/>
  <c r="A78" i="6"/>
  <c r="B78" i="6"/>
  <c r="C78" i="6"/>
  <c r="D78" i="6"/>
  <c r="E78" i="6"/>
  <c r="F78" i="6"/>
  <c r="A79" i="6"/>
  <c r="B79" i="6"/>
  <c r="C79" i="6"/>
  <c r="D79" i="6"/>
  <c r="E79" i="6"/>
  <c r="F79" i="6"/>
  <c r="A80" i="6"/>
  <c r="B80" i="6"/>
  <c r="C80" i="6"/>
  <c r="D80" i="6"/>
  <c r="E80" i="6"/>
  <c r="F80" i="6"/>
  <c r="A81" i="6"/>
  <c r="B81" i="6"/>
  <c r="C81" i="6"/>
  <c r="D81" i="6"/>
  <c r="E81" i="6"/>
  <c r="F81" i="6"/>
  <c r="A82" i="6"/>
  <c r="B82" i="6"/>
  <c r="C82" i="6"/>
  <c r="D82" i="6"/>
  <c r="E82" i="6"/>
  <c r="F82" i="6"/>
  <c r="A83" i="6"/>
  <c r="A40" i="6"/>
  <c r="A41" i="6"/>
  <c r="A42" i="6"/>
  <c r="A43" i="6"/>
  <c r="A44" i="6"/>
  <c r="A45" i="6"/>
  <c r="B45" i="6"/>
  <c r="C45" i="6"/>
  <c r="D45" i="6"/>
  <c r="E45" i="6"/>
  <c r="F45" i="6"/>
  <c r="A46" i="6"/>
  <c r="A47" i="6"/>
  <c r="B47" i="6"/>
  <c r="C47" i="6"/>
  <c r="D47" i="6"/>
  <c r="E47" i="6"/>
  <c r="F47" i="6"/>
  <c r="A48" i="6"/>
  <c r="B48" i="6"/>
  <c r="C48" i="6"/>
  <c r="D48" i="6"/>
  <c r="E48" i="6"/>
  <c r="F48" i="6"/>
  <c r="A49" i="6"/>
  <c r="B49" i="6"/>
  <c r="C49" i="6"/>
  <c r="D49" i="6"/>
  <c r="E49" i="6"/>
  <c r="F49" i="6"/>
  <c r="A50" i="6"/>
  <c r="B50" i="6"/>
  <c r="C50" i="6"/>
  <c r="D50" i="6"/>
  <c r="E50" i="6"/>
  <c r="F50" i="6"/>
  <c r="A51" i="6"/>
  <c r="B51" i="6"/>
  <c r="C51" i="6"/>
  <c r="D51" i="6"/>
  <c r="E51" i="6"/>
  <c r="F51" i="6"/>
  <c r="A52" i="6"/>
  <c r="B52" i="6"/>
  <c r="C52" i="6"/>
  <c r="D52" i="6"/>
  <c r="E52" i="6"/>
  <c r="F52" i="6"/>
  <c r="A53" i="6"/>
  <c r="B53" i="6"/>
  <c r="C53" i="6"/>
  <c r="D53" i="6"/>
  <c r="E53" i="6"/>
  <c r="F53" i="6"/>
  <c r="A54" i="6"/>
  <c r="B54" i="6"/>
  <c r="C54" i="6"/>
  <c r="D54" i="6"/>
  <c r="E54" i="6"/>
  <c r="F54" i="6"/>
  <c r="A55" i="6"/>
  <c r="B55" i="6"/>
  <c r="C55" i="6"/>
  <c r="D55" i="6"/>
  <c r="E55" i="6"/>
  <c r="F55" i="6"/>
  <c r="A56" i="6"/>
  <c r="B56" i="6"/>
  <c r="C56" i="6"/>
  <c r="D56" i="6"/>
  <c r="E56" i="6"/>
  <c r="F56" i="6"/>
  <c r="A57" i="6"/>
  <c r="B57" i="6"/>
  <c r="C57" i="6"/>
  <c r="D57" i="6"/>
  <c r="E57" i="6"/>
  <c r="F57" i="6"/>
  <c r="A58" i="6"/>
  <c r="B58" i="6"/>
  <c r="C58" i="6"/>
  <c r="D58" i="6"/>
  <c r="E58" i="6"/>
  <c r="F58" i="6"/>
  <c r="A59" i="6"/>
  <c r="A16" i="6"/>
  <c r="A17" i="6"/>
  <c r="A18" i="6"/>
  <c r="A19" i="6"/>
  <c r="A20" i="6"/>
  <c r="A21" i="6"/>
  <c r="B21" i="6"/>
  <c r="C21" i="6"/>
  <c r="D21" i="6"/>
  <c r="E21" i="6"/>
  <c r="F21" i="6"/>
  <c r="G21" i="6"/>
  <c r="A22" i="6"/>
  <c r="A23" i="6"/>
  <c r="B23" i="6"/>
  <c r="C23" i="6"/>
  <c r="D23" i="6"/>
  <c r="E23" i="6"/>
  <c r="F23" i="6"/>
  <c r="G23" i="6"/>
  <c r="A24" i="6"/>
  <c r="B24" i="6"/>
  <c r="C24" i="6"/>
  <c r="D24" i="6"/>
  <c r="E24" i="6"/>
  <c r="F24" i="6"/>
  <c r="G24" i="6"/>
  <c r="A25" i="6"/>
  <c r="B25" i="6"/>
  <c r="C25" i="6"/>
  <c r="D25" i="6"/>
  <c r="E25" i="6"/>
  <c r="F25" i="6"/>
  <c r="G25" i="6"/>
  <c r="A26" i="6"/>
  <c r="B26" i="6"/>
  <c r="C26" i="6"/>
  <c r="D26" i="6"/>
  <c r="E26" i="6"/>
  <c r="F26" i="6"/>
  <c r="G26" i="6"/>
  <c r="A27" i="6"/>
  <c r="B27" i="6"/>
  <c r="C27" i="6"/>
  <c r="D27" i="6"/>
  <c r="E27" i="6"/>
  <c r="F27" i="6"/>
  <c r="G27" i="6"/>
  <c r="A28" i="6"/>
  <c r="B28" i="6"/>
  <c r="C28" i="6"/>
  <c r="D28" i="6"/>
  <c r="E28" i="6"/>
  <c r="F28" i="6"/>
  <c r="G28" i="6"/>
  <c r="A29" i="6"/>
  <c r="B29" i="6"/>
  <c r="C29" i="6"/>
  <c r="D29" i="6"/>
  <c r="E29" i="6"/>
  <c r="F29" i="6"/>
  <c r="G29" i="6"/>
  <c r="A30" i="6"/>
  <c r="B30" i="6"/>
  <c r="C30" i="6"/>
  <c r="D30" i="6"/>
  <c r="E30" i="6"/>
  <c r="F30" i="6"/>
  <c r="G30" i="6"/>
  <c r="A31" i="6"/>
  <c r="B31" i="6"/>
  <c r="C31" i="6"/>
  <c r="D31" i="6"/>
  <c r="E31" i="6"/>
  <c r="F31" i="6"/>
  <c r="G31" i="6"/>
  <c r="A32" i="6"/>
  <c r="B32" i="6"/>
  <c r="C32" i="6"/>
  <c r="D32" i="6"/>
  <c r="E32" i="6"/>
  <c r="F32" i="6"/>
  <c r="G32" i="6"/>
  <c r="A33" i="6"/>
  <c r="B33" i="6"/>
  <c r="C33" i="6"/>
  <c r="D33" i="6"/>
  <c r="E33" i="6"/>
  <c r="F33" i="6"/>
  <c r="G33" i="6"/>
  <c r="A34" i="6"/>
  <c r="B34" i="6"/>
  <c r="C34" i="6"/>
  <c r="D34" i="6"/>
  <c r="E34" i="6"/>
  <c r="F34" i="6"/>
  <c r="G34" i="6"/>
  <c r="A35" i="6"/>
  <c r="B6" i="6"/>
  <c r="B12" i="1"/>
  <c r="B13" i="1"/>
  <c r="B14" i="1"/>
  <c r="B15" i="1"/>
  <c r="B16" i="1"/>
  <c r="B17" i="1"/>
  <c r="C17" i="1"/>
  <c r="D17" i="1"/>
  <c r="E17" i="1"/>
  <c r="F17" i="1"/>
  <c r="G17" i="1"/>
  <c r="H17" i="1"/>
  <c r="B18" i="1"/>
  <c r="B19" i="1"/>
  <c r="C19" i="1"/>
  <c r="D19" i="1"/>
  <c r="E19" i="1"/>
  <c r="F19" i="1"/>
  <c r="G19" i="1"/>
  <c r="H19" i="1"/>
  <c r="B20" i="1"/>
  <c r="C20" i="1"/>
  <c r="D20" i="1"/>
  <c r="E20" i="1"/>
  <c r="F20" i="1"/>
  <c r="G20" i="1"/>
  <c r="H20" i="1"/>
  <c r="B21" i="1"/>
  <c r="C21" i="1"/>
  <c r="D21" i="1"/>
  <c r="E21" i="1"/>
  <c r="F21" i="1"/>
  <c r="G21" i="1"/>
  <c r="H21" i="1"/>
  <c r="B22" i="1"/>
  <c r="C22" i="1"/>
  <c r="D22" i="1"/>
  <c r="E22" i="1"/>
  <c r="F22" i="1"/>
  <c r="G22" i="1"/>
  <c r="H22" i="1"/>
  <c r="B23" i="1"/>
  <c r="C23" i="1"/>
  <c r="D23" i="1"/>
  <c r="E23" i="1"/>
  <c r="F23" i="1"/>
  <c r="G23" i="1"/>
  <c r="H23" i="1"/>
  <c r="B24" i="1"/>
  <c r="C24" i="1"/>
  <c r="D24" i="1"/>
  <c r="E24" i="1"/>
  <c r="F24" i="1"/>
  <c r="G24" i="1"/>
  <c r="H24" i="1"/>
  <c r="B25" i="1"/>
  <c r="C25" i="1"/>
  <c r="D25" i="1"/>
  <c r="E25" i="1"/>
  <c r="F25" i="1"/>
  <c r="G25" i="1"/>
  <c r="H25" i="1"/>
  <c r="B26" i="1"/>
  <c r="C26" i="1"/>
  <c r="D26" i="1"/>
  <c r="E26" i="1"/>
  <c r="F26" i="1"/>
  <c r="G26" i="1"/>
  <c r="H26" i="1"/>
  <c r="B27" i="1"/>
  <c r="C27" i="1"/>
  <c r="D27" i="1"/>
  <c r="E27" i="1"/>
  <c r="F27" i="1"/>
  <c r="G27" i="1"/>
  <c r="H27" i="1"/>
  <c r="B28" i="1"/>
  <c r="C28" i="1"/>
  <c r="D28" i="1"/>
  <c r="E28" i="1"/>
  <c r="F28" i="1"/>
  <c r="G28" i="1"/>
  <c r="H28" i="1"/>
  <c r="B29" i="1"/>
  <c r="C29" i="1"/>
  <c r="D29" i="1"/>
  <c r="E29" i="1"/>
  <c r="F29" i="1"/>
  <c r="G29" i="1"/>
  <c r="H29" i="1"/>
  <c r="B30" i="1"/>
  <c r="C30" i="1"/>
  <c r="D30" i="1"/>
  <c r="E30" i="1"/>
  <c r="F30" i="1"/>
  <c r="G30" i="1"/>
  <c r="H30" i="1"/>
  <c r="B31" i="1"/>
  <c r="C115" i="6"/>
  <c r="B115" i="6"/>
  <c r="C114" i="6"/>
  <c r="B114" i="6"/>
  <c r="C113" i="6"/>
  <c r="B113" i="6"/>
  <c r="C112" i="6"/>
  <c r="B112" i="6"/>
  <c r="E196" i="6" a="1"/>
  <c r="D196" i="6"/>
  <c r="C196" i="6"/>
  <c r="B196" i="6"/>
  <c r="E195" i="6" a="1"/>
  <c r="D195" i="6"/>
  <c r="C195" i="6"/>
  <c r="B195" i="6"/>
  <c r="E194" i="6" a="1"/>
  <c r="D194" i="6"/>
  <c r="C194" i="6"/>
  <c r="B194" i="6"/>
  <c r="E193" i="6" a="1"/>
  <c r="D193" i="6"/>
  <c r="C193" i="6"/>
  <c r="B193" i="6"/>
  <c r="C44" i="6"/>
  <c r="B164" i="6"/>
  <c r="D20" i="6"/>
  <c r="C140" i="6"/>
  <c r="F20" i="6"/>
  <c r="C16" i="1"/>
  <c r="K16" i="1"/>
  <c r="C164" i="6"/>
  <c r="B140" i="6"/>
  <c r="D164" i="6"/>
  <c r="E164" i="6"/>
  <c r="B92" i="6"/>
  <c r="B20" i="6"/>
  <c r="E20" i="6"/>
  <c r="D68" i="6"/>
  <c r="C20" i="6"/>
  <c r="E140" i="6" a="1"/>
  <c r="G20" i="6"/>
  <c r="B44" i="6"/>
  <c r="E44" i="6"/>
  <c r="F44" i="6"/>
  <c r="D16" i="1"/>
  <c r="E16" i="1"/>
  <c r="B68" i="6"/>
  <c r="F16" i="1"/>
  <c r="C68" i="6"/>
  <c r="G16" i="1"/>
  <c r="C92" i="6"/>
  <c r="E68" i="6"/>
  <c r="D140" i="6"/>
  <c r="D44" i="6"/>
  <c r="H16" i="1"/>
  <c r="D92" i="6"/>
  <c r="F68" i="6"/>
  <c r="C31" i="1"/>
  <c r="B59" i="6"/>
  <c r="D31" i="1"/>
  <c r="E31" i="1"/>
  <c r="F31" i="1"/>
  <c r="C59" i="6"/>
  <c r="G31" i="1"/>
  <c r="B83" i="6"/>
  <c r="H31" i="1"/>
  <c r="B155" i="6"/>
  <c r="C83" i="6"/>
  <c r="D59" i="6"/>
  <c r="K31" i="1"/>
  <c r="C155" i="6"/>
  <c r="D83" i="6"/>
  <c r="E59" i="6"/>
  <c r="D155" i="6"/>
  <c r="B107" i="6"/>
  <c r="E83" i="6"/>
  <c r="F59" i="6"/>
  <c r="E155" i="6" a="1"/>
  <c r="G35" i="6"/>
  <c r="C179" i="6"/>
  <c r="C107" i="6"/>
  <c r="F83" i="6"/>
  <c r="D107" i="6"/>
  <c r="E35" i="6"/>
  <c r="F35" i="6"/>
  <c r="B179" i="6"/>
  <c r="B35" i="6"/>
  <c r="C35" i="6"/>
  <c r="D35" i="6"/>
  <c r="E179" i="6"/>
  <c r="D179" i="6"/>
  <c r="K12" i="1"/>
  <c r="K13" i="1"/>
  <c r="K14" i="1"/>
  <c r="K15" i="1"/>
  <c r="C166" i="6"/>
  <c r="B160" i="6"/>
  <c r="D166" i="6"/>
  <c r="C160" i="6"/>
  <c r="E166" i="6"/>
  <c r="D160" i="6"/>
  <c r="E160" i="6"/>
  <c r="B161" i="6"/>
  <c r="C161" i="6"/>
  <c r="D161" i="6"/>
  <c r="E161" i="6"/>
  <c r="B162" i="6"/>
  <c r="C162" i="6"/>
  <c r="D162" i="6"/>
  <c r="E162" i="6"/>
  <c r="B163" i="6"/>
  <c r="C163" i="6"/>
  <c r="D163" i="6"/>
  <c r="E163" i="6"/>
  <c r="B166" i="6"/>
  <c r="B136" i="6"/>
  <c r="C136" i="6"/>
  <c r="D136" i="6"/>
  <c r="E136" i="6" a="1"/>
  <c r="B142" i="6"/>
  <c r="C142" i="6"/>
  <c r="E142" i="6" a="1"/>
  <c r="B137" i="6"/>
  <c r="D142" i="6"/>
  <c r="C137" i="6"/>
  <c r="D137" i="6"/>
  <c r="E137" i="6" a="1"/>
  <c r="B138" i="6"/>
  <c r="C138" i="6"/>
  <c r="D138" i="6"/>
  <c r="E138" i="6" a="1"/>
  <c r="B139" i="6"/>
  <c r="C139" i="6"/>
  <c r="D139" i="6"/>
  <c r="E139" i="6" a="1"/>
  <c r="B88" i="6"/>
  <c r="C88" i="6"/>
  <c r="B90" i="6"/>
  <c r="C91" i="6"/>
  <c r="D88" i="6"/>
  <c r="B91" i="6"/>
  <c r="D89" i="6"/>
  <c r="B89" i="6"/>
  <c r="C89" i="6"/>
  <c r="C90" i="6"/>
  <c r="D90" i="6"/>
  <c r="D91" i="6"/>
  <c r="B94" i="6"/>
  <c r="C94" i="6"/>
  <c r="D94" i="6"/>
  <c r="B66" i="6"/>
  <c r="D66" i="6"/>
  <c r="B64" i="6"/>
  <c r="F70" i="6"/>
  <c r="C64" i="6"/>
  <c r="E66" i="6"/>
  <c r="C67" i="6"/>
  <c r="D64" i="6"/>
  <c r="E64" i="6"/>
  <c r="D67" i="6"/>
  <c r="F64" i="6"/>
  <c r="B70" i="6"/>
  <c r="C70" i="6"/>
  <c r="F65" i="6"/>
  <c r="B65" i="6"/>
  <c r="D70" i="6"/>
  <c r="F66" i="6"/>
  <c r="B67" i="6"/>
  <c r="C65" i="6"/>
  <c r="E70" i="6"/>
  <c r="E67" i="6"/>
  <c r="D65" i="6"/>
  <c r="E65" i="6"/>
  <c r="C66" i="6"/>
  <c r="F67" i="6"/>
  <c r="C43" i="6"/>
  <c r="B40" i="6"/>
  <c r="E46" i="6"/>
  <c r="E43" i="6"/>
  <c r="C40" i="6"/>
  <c r="D40" i="6"/>
  <c r="D42" i="6"/>
  <c r="E40" i="6"/>
  <c r="F40" i="6"/>
  <c r="B46" i="6"/>
  <c r="D46" i="6"/>
  <c r="C46" i="6"/>
  <c r="F46" i="6"/>
  <c r="C42" i="6"/>
  <c r="B41" i="6"/>
  <c r="F42" i="6"/>
  <c r="F43" i="6"/>
  <c r="C41" i="6"/>
  <c r="D41" i="6"/>
  <c r="E41" i="6"/>
  <c r="B43" i="6"/>
  <c r="F41" i="6"/>
  <c r="E42" i="6"/>
  <c r="D43" i="6"/>
  <c r="B42" i="6"/>
  <c r="F17" i="6"/>
  <c r="F22" i="6"/>
  <c r="B16" i="6"/>
  <c r="C16" i="6"/>
  <c r="D16" i="6"/>
  <c r="E16" i="6"/>
  <c r="C22" i="6"/>
  <c r="F16" i="6"/>
  <c r="B22" i="6"/>
  <c r="E18" i="6"/>
  <c r="G16" i="6"/>
  <c r="D22" i="6"/>
  <c r="G22" i="6"/>
  <c r="B17" i="6"/>
  <c r="C17" i="6"/>
  <c r="D17" i="6"/>
  <c r="E17" i="6"/>
  <c r="G17" i="6"/>
  <c r="E22" i="6"/>
  <c r="B18" i="6"/>
  <c r="C18" i="6"/>
  <c r="G18" i="6"/>
  <c r="D18" i="6"/>
  <c r="F18" i="6"/>
  <c r="B19" i="6"/>
  <c r="C19" i="6"/>
  <c r="D19" i="6"/>
  <c r="E19" i="6"/>
  <c r="F19" i="6"/>
  <c r="G19" i="6"/>
  <c r="C12" i="1"/>
  <c r="H15" i="1"/>
  <c r="D12" i="1"/>
  <c r="G14" i="1"/>
  <c r="F15" i="1"/>
  <c r="E12" i="1"/>
  <c r="F12" i="1"/>
  <c r="E14" i="1"/>
  <c r="C15" i="1"/>
  <c r="G12" i="1"/>
  <c r="D15" i="1"/>
  <c r="H12" i="1"/>
  <c r="F14" i="1"/>
  <c r="C13" i="1"/>
  <c r="D13" i="1"/>
  <c r="E13" i="1"/>
  <c r="F13" i="1"/>
  <c r="C18" i="1"/>
  <c r="G13" i="1"/>
  <c r="D18" i="1"/>
  <c r="E18" i="1"/>
  <c r="F18" i="1"/>
  <c r="G18" i="1"/>
  <c r="G15" i="1"/>
  <c r="H13" i="1"/>
  <c r="C14" i="1"/>
  <c r="E15" i="1"/>
  <c r="D14" i="1"/>
  <c r="H18" i="1"/>
  <c r="H14" i="1"/>
  <c r="D126" i="6" l="1"/>
  <c r="D131" i="6"/>
  <c r="D124" i="6"/>
  <c r="D127" i="6"/>
  <c r="D121" i="6"/>
  <c r="D119" i="6"/>
  <c r="D122" i="6"/>
  <c r="D125" i="6"/>
  <c r="D123" i="6"/>
  <c r="D117" i="6"/>
  <c r="D118" i="6"/>
  <c r="D120" i="6"/>
  <c r="D116" i="6"/>
  <c r="D115" i="6"/>
  <c r="D114" i="6"/>
  <c r="D113" i="6"/>
  <c r="D112" i="6"/>
  <c r="E196" i="6"/>
  <c r="F196" i="6" s="1"/>
  <c r="S14" i="6" s="1"/>
  <c r="E195" i="6"/>
  <c r="F195" i="6" s="1"/>
  <c r="S13" i="6" s="1"/>
  <c r="E194" i="6"/>
  <c r="F194" i="6" s="1"/>
  <c r="S12" i="6" s="1"/>
  <c r="E193" i="6"/>
  <c r="F193" i="6" s="1"/>
  <c r="E140" i="6"/>
  <c r="S15" i="6"/>
  <c r="E155" i="6"/>
  <c r="S30" i="6"/>
  <c r="C8" i="1"/>
  <c r="C7" i="1"/>
  <c r="C6" i="1"/>
  <c r="C5" i="1"/>
  <c r="C4" i="1"/>
  <c r="D213" i="6"/>
  <c r="C213" i="6"/>
  <c r="B213" i="6"/>
  <c r="S17" i="6"/>
  <c r="F186" i="6"/>
  <c r="F185" i="6"/>
  <c r="D189" i="6"/>
  <c r="C189" i="6"/>
  <c r="F188" i="6"/>
  <c r="E189" i="6"/>
  <c r="D180" i="6"/>
  <c r="C180" i="6"/>
  <c r="B180" i="6"/>
  <c r="D156" i="6"/>
  <c r="C156" i="6"/>
  <c r="B156" i="6"/>
  <c r="E139" i="6"/>
  <c r="E138" i="6"/>
  <c r="E137" i="6"/>
  <c r="E142" i="6"/>
  <c r="E136" i="6"/>
  <c r="C132" i="6"/>
  <c r="B132" i="6"/>
  <c r="C108" i="6"/>
  <c r="B108" i="6"/>
  <c r="F84" i="6"/>
  <c r="E84" i="6"/>
  <c r="D84" i="6"/>
  <c r="C84" i="6"/>
  <c r="B84" i="6"/>
  <c r="F60" i="6"/>
  <c r="E60" i="6"/>
  <c r="D60" i="6"/>
  <c r="C60" i="6"/>
  <c r="B60" i="6"/>
  <c r="F36" i="6"/>
  <c r="B11" i="6" s="1"/>
  <c r="S8" i="6" s="1"/>
  <c r="E36" i="6"/>
  <c r="B10" i="6" s="1"/>
  <c r="S7" i="6" s="1"/>
  <c r="D36" i="6"/>
  <c r="B9" i="6" s="1"/>
  <c r="S6" i="6" s="1"/>
  <c r="C36" i="6"/>
  <c r="B8" i="6" s="1"/>
  <c r="S5" i="6" s="1"/>
  <c r="B36" i="6"/>
  <c r="B7" i="6" s="1"/>
  <c r="D132" i="6" l="1"/>
  <c r="F187" i="6"/>
  <c r="E213" i="6"/>
  <c r="F184" i="6"/>
  <c r="F189" i="6" s="1"/>
  <c r="B189" i="6"/>
  <c r="E180" i="6"/>
  <c r="E156" i="6"/>
  <c r="D108" i="6"/>
  <c r="G36" i="6"/>
  <c r="B12" i="6" s="1"/>
  <c r="F213" i="6" l="1"/>
  <c r="S11" i="6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<sst xmlns="http://schemas.openxmlformats.org/spreadsheetml/2006/main" count="782" uniqueCount="134">
  <si>
    <t>PROJECT PERFORMANCE DASHBOARD V3</t>
  </si>
  <si>
    <t>Total Actions</t>
  </si>
  <si>
    <t>Completed</t>
  </si>
  <si>
    <t>In Progress</t>
  </si>
  <si>
    <t>Overdue</t>
  </si>
  <si>
    <t>Not Started</t>
  </si>
  <si>
    <t>CHALLENGES TRACKER</t>
  </si>
  <si>
    <t>ODC Cleanup</t>
  </si>
  <si>
    <t>Priority</t>
  </si>
  <si>
    <t>Project Name</t>
  </si>
  <si>
    <t>% with Challenges</t>
  </si>
  <si>
    <t>High</t>
  </si>
  <si>
    <t>Medium</t>
  </si>
  <si>
    <t>Datastore Reclamation</t>
  </si>
  <si>
    <t>Low</t>
  </si>
  <si>
    <t>Retired VM Cleanup</t>
  </si>
  <si>
    <t>Zerto Scripts</t>
  </si>
  <si>
    <t>Action Item</t>
  </si>
  <si>
    <t>Status</t>
  </si>
  <si>
    <t>Phase</t>
  </si>
  <si>
    <t>Category</t>
  </si>
  <si>
    <t>Owner</t>
  </si>
  <si>
    <t>Responsibility</t>
  </si>
  <si>
    <t>Assigned Date</t>
  </si>
  <si>
    <t>Due Date</t>
  </si>
  <si>
    <t>Challenges</t>
  </si>
  <si>
    <t>Progress %</t>
  </si>
  <si>
    <t>Project Start</t>
  </si>
  <si>
    <t>Planning</t>
  </si>
  <si>
    <t>admin</t>
  </si>
  <si>
    <t>required</t>
  </si>
  <si>
    <t>None</t>
  </si>
  <si>
    <t>- Create Project Sheet</t>
  </si>
  <si>
    <t>- Create Confluence Project Page</t>
  </si>
  <si>
    <t>- Review Acceptance Criteria</t>
  </si>
  <si>
    <t>Requirements Gathering</t>
  </si>
  <si>
    <t>Requirements</t>
  </si>
  <si>
    <t>- Meeting with Stakeholders</t>
  </si>
  <si>
    <t>- Refine Acceptance Criteria</t>
  </si>
  <si>
    <t>- Define MVP</t>
  </si>
  <si>
    <t>- Define FR, NFR, AC, US</t>
  </si>
  <si>
    <t>Design</t>
  </si>
  <si>
    <t>- Draw C4 Docs</t>
  </si>
  <si>
    <t>Implementation</t>
  </si>
  <si>
    <t>- Create Doctor Patient</t>
  </si>
  <si>
    <t>- PR to Main</t>
  </si>
  <si>
    <t>- ReadMe</t>
  </si>
  <si>
    <t>Monitoring</t>
  </si>
  <si>
    <t>- Splunk Forwarder Configured</t>
  </si>
  <si>
    <t>- Splunk Dashboard</t>
  </si>
  <si>
    <t>- Dynatrace Telemetry</t>
  </si>
  <si>
    <t>Overall Progress</t>
  </si>
  <si>
    <t>Total</t>
  </si>
  <si>
    <t>Priority Class</t>
  </si>
  <si>
    <t>Should</t>
  </si>
  <si>
    <t>Wont</t>
  </si>
  <si>
    <t>should have</t>
  </si>
  <si>
    <t>📊 PROJECT PORTFOLIO ANALYTICS DASHBOARD</t>
  </si>
  <si>
    <t>🎯 PORTFOLIO KPIs</t>
  </si>
  <si>
    <t>KPI Metric</t>
  </si>
  <si>
    <t>Value</t>
  </si>
  <si>
    <t>Description</t>
  </si>
  <si>
    <t>Total Projects</t>
  </si>
  <si>
    <t>Total Action Items</t>
  </si>
  <si>
    <t>Completed Items</t>
  </si>
  <si>
    <t>In Progress Items</t>
  </si>
  <si>
    <t>Overdue Items</t>
  </si>
  <si>
    <t>Not Started Items</t>
  </si>
  <si>
    <t>Overall Completion Rate</t>
  </si>
  <si>
    <t>Count of project sheets</t>
  </si>
  <si>
    <t>Sum of all items (minus headers)</t>
  </si>
  <si>
    <t>Items with Completed status</t>
  </si>
  <si>
    <t>Items currently In Progress</t>
  </si>
  <si>
    <t>Items marked Overdue</t>
  </si>
  <si>
    <t>Items Not Started</t>
  </si>
  <si>
    <t>Completed / Total Items</t>
  </si>
  <si>
    <t>📋 PROJECT STATUS BREAKDOWN</t>
  </si>
  <si>
    <t>TOTALS</t>
  </si>
  <si>
    <t>🏷️ PRIORITY CLASS DISTRIBUTION</t>
  </si>
  <si>
    <t>Project</t>
  </si>
  <si>
    <t>Must</t>
  </si>
  <si>
    <t>Could</t>
  </si>
  <si>
    <t>Want</t>
  </si>
  <si>
    <t>📊 PHASE DISTRIBUTION</t>
  </si>
  <si>
    <t>👤 RESPONSIBILITY BREAKDOWN</t>
  </si>
  <si>
    <t>Required</t>
  </si>
  <si>
    <t>Should Have</t>
  </si>
  <si>
    <t>% Required</t>
  </si>
  <si>
    <t>⚠️ CHALLENGES TRACKER</t>
  </si>
  <si>
    <t>No Challenges</t>
  </si>
  <si>
    <t>Has Challenges</t>
  </si>
  <si>
    <t>📅 TIMELINE TRACKER</t>
  </si>
  <si>
    <t>Earliest Due</t>
  </si>
  <si>
    <t>Latest Due</t>
  </si>
  <si>
    <t>Days Until Due</t>
  </si>
  <si>
    <t>Items Due This Week</t>
  </si>
  <si>
    <t>PORTFOLIO SUMMARY</t>
  </si>
  <si>
    <t>🔥 PRIORITY LEVEL DISTRIBUTION</t>
  </si>
  <si>
    <t>% High Priority</t>
  </si>
  <si>
    <t>Status Breakdown</t>
  </si>
  <si>
    <t>📈 COMPLETION MATRIX (Status x Phase)</t>
  </si>
  <si>
    <t>Phase \ Status</t>
  </si>
  <si>
    <t>TOTAL</t>
  </si>
  <si>
    <t>🏥 PROJECT HEALTH SCORECARD</t>
  </si>
  <si>
    <t>Completion %</t>
  </si>
  <si>
    <t>On-Time %</t>
  </si>
  <si>
    <t>No Challenges %</t>
  </si>
  <si>
    <t>Must Priority Done %</t>
  </si>
  <si>
    <t>Health Score</t>
  </si>
  <si>
    <t>PORTFOLIO AVG</t>
  </si>
  <si>
    <t>Health Scores</t>
  </si>
  <si>
    <t>📖 QUICK REFERENCE LEGEND</t>
  </si>
  <si>
    <t>Status Values:</t>
  </si>
  <si>
    <t>Not Started, In Progress, Completed, Overdue</t>
  </si>
  <si>
    <t>Priority Class (MoSCoW):</t>
  </si>
  <si>
    <t>Must, Should, Could, Wont, Want</t>
  </si>
  <si>
    <t>Phases:</t>
  </si>
  <si>
    <t>Planning, Requirements, Design, Implementation, Monitoring</t>
  </si>
  <si>
    <t>Priority Levels:</t>
  </si>
  <si>
    <t>High, Medium, Low</t>
  </si>
  <si>
    <t>Health Score:</t>
  </si>
  <si>
    <t>Average of Completion %, On-Time %, No Challenges %, Must Priority Done %</t>
  </si>
  <si>
    <t>nice to have</t>
  </si>
  <si>
    <t>Abbey is hurting me</t>
  </si>
  <si>
    <t>📋 PROJECT CONFIGURATION</t>
  </si>
  <si>
    <t>Project List</t>
  </si>
  <si>
    <t>Instructions</t>
  </si>
  <si>
    <t>1. Add new project names to column A (starting row 4)</t>
  </si>
  <si>
    <t>2. Keep names EXACTLY matching the sheet tab names</t>
  </si>
  <si>
    <t>3. Delete project names when projects are removed</t>
  </si>
  <si>
    <t>4. Dashboard and Demos will auto-update</t>
  </si>
  <si>
    <t>5. Maximum supported: 20 projects</t>
  </si>
  <si>
    <t>Generated: Dynamic | Data Source: All Project Sheets via Config</t>
  </si>
  <si>
    <t>← Add more projects above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</si>
</sst>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5" formatCode="0.0%"/>
    <numFmt numFmtId="166" formatCode="0.0"/>
  </numFmts>
  <fonts count="9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i/>
      <sz val="11"/>
      <color rgb="FF80808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2F5597"/>
        <bgColor rgb="FF2F5597"/>
      </patternFill>
    </fill>
    <fill>
      <patternFill patternType="solid">
        <fgColor rgb="FFF2F2F2"/>
        <bgColor rgb="FFF2F2F2"/>
      </patternFill>
    </fill>
    <fill>
      <patternFill patternType="solid">
        <fgColor rgb="FFFFF2CC"/>
        <bgColor indexed="64"/>
      </patternFill>
    </fill>
    <fill>
      <patternFill patternType="solid">
        <fgColor rgb="FF4472C4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9" fontId="0" fillId="0" borderId="0" xfId="0" applyNumberFormat="1"/>
    <xf numFmtId="0" fontId="1" fillId="2" borderId="0" xfId="0" applyFont="1" applyFill="1" applyAlignment="1">
      <alignment horizontal="center"/>
    </xf>
    <xf numFmtId="0" fontId="2" fillId="3" borderId="0" xfId="0" applyFont="1" applyFill="1"/>
    <xf numFmtId="164" fontId="2" fillId="3" borderId="0" xfId="0" applyNumberFormat="1" applyFont="1" applyFill="1"/>
    <xf numFmtId="9" fontId="2" fillId="3" borderId="0" xfId="0" applyNumberFormat="1" applyFont="1" applyFill="1"/>
    <xf numFmtId="164" fontId="0" fillId="0" borderId="0" xfId="0" applyNumberFormat="1"/>
    <xf numFmtId="0" fontId="3" fillId="0" borderId="0" xfId="0" applyFont="1"/>
    <xf numFmtId="0" fontId="0" fillId="0" borderId="0" xfId="0"/>
    <xf numFmtId="0" fontId="5" fillId="5" borderId="0" xfId="0" applyFont="1" applyFill="1"/>
    <xf numFmtId="0" fontId="3" fillId="0" borderId="0" xfId="0" applyFont="1"/>
    <xf numFmtId="0" fontId="6" fillId="0" borderId="0" xfId="0" applyFont="1"/>
    <xf numFmtId="0" fontId="4" fillId="0" borderId="0" xfId="0" applyFont="1"/>
    <xf numFmtId="0" fontId="5" fillId="5" borderId="0" xfId="0" applyFont="1" applyFill="1"/>
    <xf numFmtId="165" fontId="0" fillId="0" borderId="0" xfId="0" applyNumberFormat="1"/>
    <xf numFmtId="166" fontId="0" fillId="0" borderId="0" xfId="0" applyNumberFormat="1"/>
    <xf numFmtId="0" fontId="0" fillId="5" borderId="0" xfId="0" applyFill="1"/>
    <xf numFmtId="0" fontId="7" fillId="5" borderId="0" xfId="0" applyFont="1" applyFill="1"/>
    <xf numFmtId="0" fontId="0" fillId="0" borderId="1" xfId="0" applyBorder="1"/>
    <xf numFmtId="0" fontId="5" fillId="5" borderId="2" xfId="0" applyFont="1" applyFill="1" applyBorder="1"/>
    <xf numFmtId="0" fontId="3" fillId="4" borderId="0" xfId="0" applyFont="1" applyFill="1"/>
    <xf numFmtId="0" fontId="0" fillId="4" borderId="0" xfId="0" applyFill="1"/>
    <xf numFmtId="0" fontId="8" fillId="0" borderId="3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Project Status Breakdown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Demos!$A$35:$F$35</c:f>
              <c:strCache>
                <c:ptCount val="6"/>
                <c:pt idx="0">
                  <c:v>Zerto Scripts</c:v>
                </c:pt>
                <c:pt idx="1">
                  <c:v>19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19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Demos!$G$15:$G$34</c:f>
              <c:strCache>
                <c:ptCount val="5"/>
                <c:pt idx="0">
                  <c:v>Progress %</c:v>
                </c:pt>
                <c:pt idx="1">
                  <c:v>0.0%</c:v>
                </c:pt>
                <c:pt idx="2">
                  <c:v>0.0%</c:v>
                </c:pt>
                <c:pt idx="3">
                  <c:v>0.0%</c:v>
                </c:pt>
                <c:pt idx="4">
                  <c:v>0.0%</c:v>
                </c:pt>
              </c:strCache>
            </c:strRef>
          </c:cat>
          <c:val>
            <c:numRef>
              <c:f>Demos!$G$35</c:f>
              <c:numCache>
                <c:formatCode>0.0%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2A-427A-B8AC-699764F328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84912240"/>
        <c:axId val="1162436592"/>
      </c:barChart>
      <c:catAx>
        <c:axId val="1084912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2436592"/>
        <c:crosses val="autoZero"/>
        <c:auto val="1"/>
        <c:lblAlgn val="ctr"/>
        <c:lblOffset val="100"/>
        <c:noMultiLvlLbl val="0"/>
      </c:catAx>
      <c:valAx>
        <c:axId val="1162436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4912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Priority Class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Demos!$A$59:$E$59</c:f>
              <c:strCache>
                <c:ptCount val="5"/>
                <c:pt idx="0">
                  <c:v>Zerto Scripts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Demos!$F$39:$F$58</c:f>
              <c:strCache>
                <c:ptCount val="5"/>
                <c:pt idx="0">
                  <c:v>Want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</c:strCache>
            </c:strRef>
          </c:cat>
          <c:val>
            <c:numRef>
              <c:f>Demos!$F$59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B6-4E00-B42A-4E72A3AF8B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162438992"/>
        <c:axId val="1162439472"/>
      </c:barChart>
      <c:catAx>
        <c:axId val="116243899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2439472"/>
        <c:crosses val="autoZero"/>
        <c:auto val="1"/>
        <c:lblAlgn val="ctr"/>
        <c:lblOffset val="100"/>
        <c:noMultiLvlLbl val="0"/>
      </c:catAx>
      <c:valAx>
        <c:axId val="11624394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24389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Phase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Demos!$A$83:$E$83</c:f>
              <c:strCache>
                <c:ptCount val="5"/>
                <c:pt idx="0">
                  <c:v>Zerto Scripts</c:v>
                </c:pt>
                <c:pt idx="1">
                  <c:v>4</c:v>
                </c:pt>
                <c:pt idx="2">
                  <c:v>5</c:v>
                </c:pt>
                <c:pt idx="3">
                  <c:v>2</c:v>
                </c:pt>
                <c:pt idx="4">
                  <c:v>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Demos!$F$63:$F$82</c:f>
              <c:strCache>
                <c:ptCount val="5"/>
                <c:pt idx="0">
                  <c:v>Monitoring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</c:strCache>
            </c:strRef>
          </c:cat>
          <c:val>
            <c:numRef>
              <c:f>Demos!$F$83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667-4A9D-814A-680A650EA4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118673984"/>
        <c:axId val="1118674944"/>
      </c:barChart>
      <c:catAx>
        <c:axId val="1118673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8674944"/>
        <c:crosses val="autoZero"/>
        <c:auto val="1"/>
        <c:lblAlgn val="ctr"/>
        <c:lblOffset val="100"/>
        <c:noMultiLvlLbl val="0"/>
      </c:catAx>
      <c:valAx>
        <c:axId val="1118674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86739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Status Breakdown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val>
            <c:numRef>
              <c:f>Demos!$S$5:$S$8</c:f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Demos!$R$5:$R$8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61D2-4EBE-8467-24FF15EA4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Priority Level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Demos!$A$179:$C$179</c:f>
              <c:strCache>
                <c:ptCount val="3"/>
                <c:pt idx="0">
                  <c:v>Zerto Scripts</c:v>
                </c:pt>
                <c:pt idx="1">
                  <c:v>0</c:v>
                </c:pt>
                <c:pt idx="2">
                  <c:v>19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Demos!$D$159:$D$178</c:f>
              <c:strCache>
                <c:ptCount val="5"/>
                <c:pt idx="0">
                  <c:v>Low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strCache>
            </c:strRef>
          </c:cat>
          <c:val>
            <c:numRef>
              <c:f>Demos!$D$179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CA-47B6-880E-297EFF7471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74120944"/>
        <c:axId val="1174121424"/>
      </c:barChart>
      <c:catAx>
        <c:axId val="11741209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4121424"/>
        <c:crosses val="autoZero"/>
        <c:auto val="1"/>
        <c:lblAlgn val="ctr"/>
        <c:lblOffset val="100"/>
        <c:noMultiLvlLbl val="0"/>
      </c:catAx>
      <c:valAx>
        <c:axId val="11741214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4120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Completion Matrix by Phase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Demos!$A$184</c:f>
              <c:strCache>
                <c:ptCount val="1"/>
                <c:pt idx="0">
                  <c:v>Planning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Demos!$B$183:$E$183</c:f>
              <c:strCache>
                <c:ptCount val="4"/>
                <c:pt idx="0">
                  <c:v>Not Started</c:v>
                </c:pt>
                <c:pt idx="1">
                  <c:v>In Progress</c:v>
                </c:pt>
                <c:pt idx="2">
                  <c:v>Completed</c:v>
                </c:pt>
                <c:pt idx="3">
                  <c:v>Overdue</c:v>
                </c:pt>
              </c:strCache>
            </c:strRef>
          </c:cat>
          <c:val>
            <c:numRef>
              <c:f>Demos!$B$184:$E$184</c:f>
              <c:numCache>
                <c:formatCode>General</c:formatCode>
                <c:ptCount val="4"/>
                <c:pt idx="0">
                  <c:v>16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09-4BA0-95E5-EFF015A578F6}"/>
            </c:ext>
          </c:extLst>
        </c:ser>
        <c:ser>
          <c:idx val="1"/>
          <c:order val="1"/>
          <c:tx>
            <c:strRef>
              <c:f>Demos!$A$185</c:f>
              <c:strCache>
                <c:ptCount val="1"/>
                <c:pt idx="0">
                  <c:v>Requirements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Demos!$B$183:$E$183</c:f>
              <c:strCache>
                <c:ptCount val="4"/>
                <c:pt idx="0">
                  <c:v>Not Started</c:v>
                </c:pt>
                <c:pt idx="1">
                  <c:v>In Progress</c:v>
                </c:pt>
                <c:pt idx="2">
                  <c:v>Completed</c:v>
                </c:pt>
                <c:pt idx="3">
                  <c:v>Overdue</c:v>
                </c:pt>
              </c:strCache>
            </c:strRef>
          </c:cat>
          <c:val>
            <c:numRef>
              <c:f>Demos!$B$185:$E$185</c:f>
              <c:numCache>
                <c:formatCode>General</c:formatCode>
                <c:ptCount val="4"/>
                <c:pt idx="0">
                  <c:v>20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F09-4BA0-95E5-EFF015A578F6}"/>
            </c:ext>
          </c:extLst>
        </c:ser>
        <c:ser>
          <c:idx val="2"/>
          <c:order val="2"/>
          <c:tx>
            <c:strRef>
              <c:f>Demos!$A$186</c:f>
              <c:strCache>
                <c:ptCount val="1"/>
                <c:pt idx="0">
                  <c:v>Design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Demos!$B$183:$E$183</c:f>
              <c:strCache>
                <c:ptCount val="4"/>
                <c:pt idx="0">
                  <c:v>Not Started</c:v>
                </c:pt>
                <c:pt idx="1">
                  <c:v>In Progress</c:v>
                </c:pt>
                <c:pt idx="2">
                  <c:v>Completed</c:v>
                </c:pt>
                <c:pt idx="3">
                  <c:v>Overdue</c:v>
                </c:pt>
              </c:strCache>
            </c:strRef>
          </c:cat>
          <c:val>
            <c:numRef>
              <c:f>Demos!$B$186:$E$186</c:f>
              <c:numCache>
                <c:formatCode>General</c:formatCode>
                <c:ptCount val="4"/>
                <c:pt idx="0">
                  <c:v>8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F09-4BA0-95E5-EFF015A578F6}"/>
            </c:ext>
          </c:extLst>
        </c:ser>
        <c:ser>
          <c:idx val="3"/>
          <c:order val="3"/>
          <c:tx>
            <c:strRef>
              <c:f>Demos!$A$187</c:f>
              <c:strCache>
                <c:ptCount val="1"/>
                <c:pt idx="0">
                  <c:v>Implementation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Demos!$B$183:$E$183</c:f>
              <c:strCache>
                <c:ptCount val="4"/>
                <c:pt idx="0">
                  <c:v>Not Started</c:v>
                </c:pt>
                <c:pt idx="1">
                  <c:v>In Progress</c:v>
                </c:pt>
                <c:pt idx="2">
                  <c:v>Completed</c:v>
                </c:pt>
                <c:pt idx="3">
                  <c:v>Overdue</c:v>
                </c:pt>
              </c:strCache>
            </c:strRef>
          </c:cat>
          <c:val>
            <c:numRef>
              <c:f>Demos!$B$187:$E$187</c:f>
              <c:numCache>
                <c:formatCode>General</c:formatCode>
                <c:ptCount val="4"/>
                <c:pt idx="0">
                  <c:v>15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F09-4BA0-95E5-EFF015A578F6}"/>
            </c:ext>
          </c:extLst>
        </c:ser>
        <c:ser>
          <c:idx val="4"/>
          <c:order val="4"/>
          <c:tx>
            <c:strRef>
              <c:f>Demos!$A$188</c:f>
              <c:strCache>
                <c:ptCount val="1"/>
                <c:pt idx="0">
                  <c:v>Monitoring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Demos!$B$183:$E$183</c:f>
              <c:strCache>
                <c:ptCount val="4"/>
                <c:pt idx="0">
                  <c:v>Not Started</c:v>
                </c:pt>
                <c:pt idx="1">
                  <c:v>In Progress</c:v>
                </c:pt>
                <c:pt idx="2">
                  <c:v>Completed</c:v>
                </c:pt>
                <c:pt idx="3">
                  <c:v>Overdue</c:v>
                </c:pt>
              </c:strCache>
            </c:strRef>
          </c:cat>
          <c:val>
            <c:numRef>
              <c:f>Demos!$B$188:$E$188</c:f>
              <c:numCache>
                <c:formatCode>General</c:formatCode>
                <c:ptCount val="4"/>
                <c:pt idx="0">
                  <c:v>16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F09-4BA0-95E5-EFF015A578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84862560"/>
        <c:axId val="1084861120"/>
      </c:barChart>
      <c:catAx>
        <c:axId val="10848625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4861120"/>
        <c:crosses val="autoZero"/>
        <c:auto val="1"/>
        <c:lblAlgn val="ctr"/>
        <c:lblOffset val="100"/>
        <c:noMultiLvlLbl val="0"/>
      </c:catAx>
      <c:valAx>
        <c:axId val="1084861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48625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Project Health Scorecard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Demos!$A$212:$D$212</c:f>
              <c:strCache>
                <c:ptCount val="4"/>
                <c:pt idx="0">
                  <c:v>Zerto Scripts</c:v>
                </c:pt>
                <c:pt idx="1">
                  <c:v>0.0%</c:v>
                </c:pt>
                <c:pt idx="2">
                  <c:v>100.0%</c:v>
                </c:pt>
                <c:pt idx="3">
                  <c:v>100.0%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Demos!$E$192:$E$211</c:f>
              <c:strCache>
                <c:ptCount val="5"/>
                <c:pt idx="0">
                  <c:v>Must Priority Done %</c:v>
                </c:pt>
                <c:pt idx="1">
                  <c:v>0.0%</c:v>
                </c:pt>
                <c:pt idx="2">
                  <c:v>0.0%</c:v>
                </c:pt>
                <c:pt idx="3">
                  <c:v>0.0%</c:v>
                </c:pt>
                <c:pt idx="4">
                  <c:v>0.0%</c:v>
                </c:pt>
              </c:strCache>
            </c:strRef>
          </c:cat>
          <c:val>
            <c:numRef>
              <c:f>Demos!$E$212</c:f>
              <c:numCache>
                <c:formatCode>0.0%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E1-4041-8CF1-D53E08A856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61757984"/>
        <c:axId val="1161758464"/>
      </c:radarChart>
      <c:catAx>
        <c:axId val="1161757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1758464"/>
        <c:crosses val="autoZero"/>
        <c:auto val="1"/>
        <c:lblAlgn val="ctr"/>
        <c:lblOffset val="100"/>
        <c:noMultiLvlLbl val="0"/>
      </c:catAx>
      <c:valAx>
        <c:axId val="1161758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17579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Health Scores by Project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Demos!$S$11:$S$29</c:f>
              <c:strCache>
                <c:ptCount val="19"/>
                <c:pt idx="0">
                  <c:v>0.473684211</c:v>
                </c:pt>
                <c:pt idx="1">
                  <c:v>0.5</c:v>
                </c:pt>
                <c:pt idx="2">
                  <c:v>0.5</c:v>
                </c:pt>
                <c:pt idx="3">
                  <c:v>0.5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Demos!$R$30</c:f>
            </c:multiLvlStrRef>
          </c:cat>
          <c:val>
            <c:numRef>
              <c:f>Demos!$S$30</c:f>
            </c:numRef>
          </c:val>
          <c:extLst>
            <c:ext xmlns:c16="http://schemas.microsoft.com/office/drawing/2014/chart" uri="{C3380CC4-5D6E-409C-BE32-E72D297353CC}">
              <c16:uniqueId val="{00000000-89BB-4B6C-AE86-46CC5B8D4E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29893008"/>
        <c:axId val="1229890608"/>
      </c:barChart>
      <c:catAx>
        <c:axId val="1229893008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9890608"/>
        <c:crosses val="autoZero"/>
        <c:auto val="1"/>
        <c:lblAlgn val="ctr"/>
        <c:lblOffset val="100"/>
        <c:noMultiLvlLbl val="0"/>
      </c:catAx>
      <c:valAx>
        <c:axId val="12298906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98930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209550</xdr:colOff>
      <xdr:row>12</xdr:row>
      <xdr:rowOff>104775</xdr:rowOff>
    </xdr:from>
    <xdr:to>
      <xdr:col>16</xdr:col>
      <xdr:colOff>438150</xdr:colOff>
      <xdr:row>29</xdr:row>
      <xdr:rowOff>41275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7A67D853-FC51-8796-FC2A-1E3753DDF3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37</xdr:row>
      <xdr:rowOff>0</xdr:rowOff>
    </xdr:from>
    <xdr:to>
      <xdr:col>16</xdr:col>
      <xdr:colOff>228600</xdr:colOff>
      <xdr:row>53</xdr:row>
      <xdr:rowOff>127000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599B38C9-8D18-E525-A9EC-38EB3E3CC4D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0</xdr:colOff>
      <xdr:row>61</xdr:row>
      <xdr:rowOff>0</xdr:rowOff>
    </xdr:from>
    <xdr:to>
      <xdr:col>16</xdr:col>
      <xdr:colOff>228600</xdr:colOff>
      <xdr:row>77</xdr:row>
      <xdr:rowOff>127000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E8953094-5280-515A-EBBF-1DDAEA33B7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17</xdr:col>
      <xdr:colOff>0</xdr:colOff>
      <xdr:row>14</xdr:row>
      <xdr:rowOff>0</xdr:rowOff>
    </xdr:from>
    <xdr:to>
      <xdr:col>24</xdr:col>
      <xdr:colOff>127000</xdr:colOff>
      <xdr:row>27</xdr:row>
      <xdr:rowOff>63500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A3FDBD4E-912C-54FF-3F10-F9B4C8B063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0</xdr:colOff>
      <xdr:row>157</xdr:row>
      <xdr:rowOff>0</xdr:rowOff>
    </xdr:from>
    <xdr:to>
      <xdr:col>16</xdr:col>
      <xdr:colOff>228600</xdr:colOff>
      <xdr:row>173</xdr:row>
      <xdr:rowOff>127000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F230975C-F4CC-66A5-C88C-023D1BC258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</xdr:col>
      <xdr:colOff>0</xdr:colOff>
      <xdr:row>181</xdr:row>
      <xdr:rowOff>0</xdr:rowOff>
    </xdr:from>
    <xdr:to>
      <xdr:col>15</xdr:col>
      <xdr:colOff>203200</xdr:colOff>
      <xdr:row>194</xdr:row>
      <xdr:rowOff>63500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7B0F997B-0D62-F64E-08E0-08233727B7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7</xdr:col>
      <xdr:colOff>0</xdr:colOff>
      <xdr:row>190</xdr:row>
      <xdr:rowOff>0</xdr:rowOff>
    </xdr:from>
    <xdr:to>
      <xdr:col>15</xdr:col>
      <xdr:colOff>203200</xdr:colOff>
      <xdr:row>208</xdr:row>
      <xdr:rowOff>127000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6945F052-33D7-961D-8DEF-933425AF93D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17</xdr:col>
      <xdr:colOff>0</xdr:colOff>
      <xdr:row>31</xdr:row>
      <xdr:rowOff>0</xdr:rowOff>
    </xdr:from>
    <xdr:to>
      <xdr:col>24</xdr:col>
      <xdr:colOff>508000</xdr:colOff>
      <xdr:row>47</xdr:row>
      <xdr:rowOff>127000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C4AF866D-5177-91F5-6F7A-2951C656E3E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7B2633-A383-4D8A-9D78-0A123A562781}">
  <dimension ref="A1:E24"/>
  <sheetViews>
    <sheetView workbookViewId="0">
      <selection activeCell="C15" sqref="C15"/>
    </sheetView>
  </sheetViews>
  <sheetFormatPr defaultRowHeight="15" x14ac:dyDescent="0.25"/>
  <cols>
    <col min="1" max="1" width="34.28515625" customWidth="1"/>
    <col min="3" max="3" width="66.7109375" customWidth="1"/>
  </cols>
  <sheetData>
    <row r="1" spans="1:5" ht="18.75" x14ac:dyDescent="0.3">
      <c r="A1" s="17" t="s">
        <v>124</v>
      </c>
      <c r="B1" s="16"/>
      <c r="C1" s="16"/>
      <c r="D1" s="16"/>
      <c r="E1" s="16"/>
    </row>
    <row r="3" spans="1:5" x14ac:dyDescent="0.25">
      <c r="A3" s="19" t="s">
        <v>125</v>
      </c>
      <c r="C3" s="20" t="s">
        <v>126</v>
      </c>
    </row>
    <row r="4" spans="1:5" x14ac:dyDescent="0.25">
      <c r="A4" s="18" t="s">
        <v>7</v>
      </c>
      <c r="C4" s="21" t="s">
        <v>127</v>
      </c>
    </row>
    <row r="5" spans="1:5" x14ac:dyDescent="0.25">
      <c r="A5" s="18" t="s">
        <v>13</v>
      </c>
      <c r="C5" s="21" t="s">
        <v>128</v>
      </c>
    </row>
    <row r="6" spans="1:5" x14ac:dyDescent="0.25">
      <c r="A6" s="18" t="s">
        <v>15</v>
      </c>
      <c r="C6" s="21" t="s">
        <v>129</v>
      </c>
    </row>
    <row r="7" spans="1:5" x14ac:dyDescent="0.25">
      <c r="A7" s="18" t="s">
        <v>16</v>
      </c>
      <c r="C7" s="21" t="s">
        <v>130</v>
      </c>
    </row>
    <row r="8" spans="1:5" x14ac:dyDescent="0.25">
      <c r="A8" s="18"/>
      <c r="C8" s="21" t="s">
        <v>131</v>
      </c>
    </row>
    <row r="9" spans="1:5" x14ac:dyDescent="0.25">
      <c r="A9" s="18"/>
    </row>
    <row r="10" spans="1:5" x14ac:dyDescent="0.25">
      <c r="A10" s="18"/>
      <c r="B10" s="7">
        <f>COUNTA(A4:A23)-COUNTIF(A4:A23,"← Add more projects above")</f>
        <v>4</v>
      </c>
    </row>
    <row r="11" spans="1:5" x14ac:dyDescent="0.25">
      <c r="A11" s="18"/>
    </row>
    <row r="12" spans="1:5" x14ac:dyDescent="0.25">
      <c r="A12" s="18"/>
    </row>
    <row r="13" spans="1:5" x14ac:dyDescent="0.25">
      <c r="A13" s="18"/>
    </row>
    <row r="14" spans="1:5" x14ac:dyDescent="0.25">
      <c r="A14" s="18"/>
    </row>
    <row r="15" spans="1:5" x14ac:dyDescent="0.25">
      <c r="A15" s="18"/>
    </row>
    <row r="16" spans="1:5" x14ac:dyDescent="0.25">
      <c r="A16" s="18"/>
    </row>
    <row r="17" spans="1:1" x14ac:dyDescent="0.25">
      <c r="A17" s="18"/>
    </row>
    <row r="18" spans="1:1" x14ac:dyDescent="0.25">
      <c r="A18" s="18"/>
    </row>
    <row r="19" spans="1:1" x14ac:dyDescent="0.25">
      <c r="A19" s="18"/>
    </row>
    <row r="20" spans="1:1" x14ac:dyDescent="0.25">
      <c r="A20" s="18"/>
    </row>
    <row r="21" spans="1:1" x14ac:dyDescent="0.25">
      <c r="A21" s="18"/>
    </row>
    <row r="22" spans="1:1" x14ac:dyDescent="0.25">
      <c r="A22" s="18"/>
    </row>
    <row r="23" spans="1:1" x14ac:dyDescent="0.25">
      <c r="A23" s="22"/>
    </row>
    <row r="24" spans="1:1" x14ac:dyDescent="0.25">
      <c r="A24" t="s">
        <v>133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S31"/>
  <sheetViews>
    <sheetView workbookViewId="0">
      <selection activeCell="A27" sqref="A27"/>
    </sheetView>
  </sheetViews>
  <sheetFormatPr defaultRowHeight="15" x14ac:dyDescent="0.25"/>
  <cols>
    <col min="2" max="2" width="25" customWidth="1"/>
    <col min="3" max="3" width="15" customWidth="1"/>
    <col min="7" max="7" width="25" customWidth="1"/>
    <col min="8" max="8" width="20" customWidth="1"/>
    <col min="10" max="10" width="26.140625" bestFit="1" customWidth="1"/>
  </cols>
  <sheetData>
    <row r="2" spans="2:19" ht="21" x14ac:dyDescent="0.35">
      <c r="B2" s="11" t="s">
        <v>0</v>
      </c>
      <c r="C2" s="8"/>
      <c r="D2" s="8"/>
      <c r="E2" s="8"/>
      <c r="F2" s="8"/>
      <c r="G2" s="8"/>
      <c r="H2" s="8"/>
      <c r="I2" s="8"/>
      <c r="J2" s="8"/>
      <c r="K2" s="8"/>
    </row>
    <row r="4" spans="2:19" x14ac:dyDescent="0.25">
      <c r="B4" s="7" t="s">
        <v>1</v>
      </c>
      <c r="C4">
        <f ca="1">SUM(C12:C31)</f>
        <v>76</v>
      </c>
    </row>
    <row r="5" spans="2:19" x14ac:dyDescent="0.25">
      <c r="B5" s="7" t="s">
        <v>2</v>
      </c>
      <c r="C5">
        <f ca="1">SUM(D12:D31)</f>
        <v>0</v>
      </c>
    </row>
    <row r="6" spans="2:19" x14ac:dyDescent="0.25">
      <c r="B6" s="7" t="s">
        <v>3</v>
      </c>
      <c r="C6">
        <f ca="1">SUM(E12:E31)</f>
        <v>0</v>
      </c>
    </row>
    <row r="7" spans="2:19" x14ac:dyDescent="0.25">
      <c r="B7" s="7" t="s">
        <v>4</v>
      </c>
      <c r="C7">
        <f ca="1">SUM(F12:F31)</f>
        <v>1</v>
      </c>
    </row>
    <row r="8" spans="2:19" x14ac:dyDescent="0.25">
      <c r="B8" s="7" t="s">
        <v>5</v>
      </c>
      <c r="C8">
        <f ca="1">SUM(G12:G31)</f>
        <v>75</v>
      </c>
    </row>
    <row r="10" spans="2:19" x14ac:dyDescent="0.25">
      <c r="J10" s="10" t="s">
        <v>6</v>
      </c>
      <c r="K10" s="8"/>
      <c r="S10" s="1"/>
    </row>
    <row r="11" spans="2:19" x14ac:dyDescent="0.25">
      <c r="B11" s="9" t="s">
        <v>9</v>
      </c>
      <c r="C11" s="9" t="s">
        <v>52</v>
      </c>
      <c r="D11" s="9" t="s">
        <v>2</v>
      </c>
      <c r="E11" s="9" t="s">
        <v>3</v>
      </c>
      <c r="F11" s="9" t="s">
        <v>4</v>
      </c>
      <c r="G11" s="9" t="s">
        <v>5</v>
      </c>
      <c r="H11" s="9" t="s">
        <v>51</v>
      </c>
      <c r="J11" s="9" t="s">
        <v>9</v>
      </c>
      <c r="K11" s="9" t="s">
        <v>10</v>
      </c>
      <c r="L11" s="7"/>
      <c r="S11" s="1"/>
    </row>
    <row r="12" spans="2:19" x14ac:dyDescent="0.25">
      <c r="B12" t="str">
        <f>IF(Config!A4="","",Config!A4)</f>
        <v>ODC Cleanup</v>
      </c>
      <c r="C12">
        <f ca="1">IF(Config!A4="","",IFERROR(COUNTA(INDIRECT("'"&amp;Config!A4&amp;"'!B2:B1000")),0))</f>
        <v>19</v>
      </c>
      <c r="D12">
        <f ca="1">IF(Config!A4="","",IFERROR(COUNTIF(INDIRECT("'"&amp;Config!A4&amp;"'!B2:B1000"),"Completed"),0))</f>
        <v>0</v>
      </c>
      <c r="E12">
        <f ca="1">IF(Config!A4="","",IFERROR(COUNTIF(INDIRECT("'"&amp;Config!A4&amp;"'!B2:B1000"),"In Progress"),0))</f>
        <v>0</v>
      </c>
      <c r="F12">
        <f ca="1">IF(Config!A4="","",IFERROR(COUNTIF(INDIRECT("'"&amp;Config!A4&amp;"'!B2:B1000"),"Overdue"),0))</f>
        <v>1</v>
      </c>
      <c r="G12">
        <f ca="1">IF(Config!A4="","",IFERROR(COUNTIF(INDIRECT("'"&amp;Config!A4&amp;"'!B2:B1000"),"Not Started"),0))</f>
        <v>18</v>
      </c>
      <c r="H12" s="1">
        <f ca="1">IF(Config!A4="","",IFERROR(COUNTIF(INDIRECT("'"&amp;Config!A4&amp;"'!B2:B1000"),"Completed")/COUNTA(INDIRECT("'"&amp;Config!A4&amp;"'!B2:B1000")),0))</f>
        <v>0</v>
      </c>
      <c r="J12" t="str">
        <f>IF(Config!A4="","",Config!A4)</f>
        <v>ODC Cleanup</v>
      </c>
      <c r="K12" s="1">
        <f ca="1">IF(Config!A4="","",IFERROR((COUNTA(INDIRECT("'"&amp;Config!A4&amp;"'!J2:J1000"))-COUNTIF(INDIRECT("'"&amp;Config!A4&amp;"'!J2:J1000"),"None"))/COUNTA(INDIRECT("'"&amp;Config!A4&amp;"'!B2:B1000")),0))</f>
        <v>5.2631578947368418E-2</v>
      </c>
      <c r="S12" s="1"/>
    </row>
    <row r="13" spans="2:19" x14ac:dyDescent="0.25">
      <c r="B13" t="str">
        <f>IF(Config!A5="","",Config!A5)</f>
        <v>Datastore Reclamation</v>
      </c>
      <c r="C13">
        <f ca="1">IF(Config!A5="","",IFERROR(COUNTA(INDIRECT("'"&amp;Config!A5&amp;"'!B2:B1000")),0))</f>
        <v>19</v>
      </c>
      <c r="D13">
        <f ca="1">IF(Config!A5="","",IFERROR(COUNTIF(INDIRECT("'"&amp;Config!A5&amp;"'!B2:B1000"),"Completed"),0))</f>
        <v>0</v>
      </c>
      <c r="E13">
        <f ca="1">IF(Config!A5="","",IFERROR(COUNTIF(INDIRECT("'"&amp;Config!A5&amp;"'!B2:B1000"),"In Progress"),0))</f>
        <v>0</v>
      </c>
      <c r="F13">
        <f ca="1">IF(Config!A5="","",IFERROR(COUNTIF(INDIRECT("'"&amp;Config!A5&amp;"'!B2:B1000"),"Overdue"),0))</f>
        <v>0</v>
      </c>
      <c r="G13">
        <f ca="1">IF(Config!A5="","",IFERROR(COUNTIF(INDIRECT("'"&amp;Config!A5&amp;"'!B2:B1000"),"Not Started"),0))</f>
        <v>19</v>
      </c>
      <c r="H13" s="1">
        <f ca="1">IF(Config!A5="","",IFERROR(COUNTIF(INDIRECT("'"&amp;Config!A5&amp;"'!B2:B1000"),"Completed")/COUNTA(INDIRECT("'"&amp;Config!A5&amp;"'!B2:B1000")),0))</f>
        <v>0</v>
      </c>
      <c r="J13" t="str">
        <f>IF(Config!A5="","",Config!A5)</f>
        <v>Datastore Reclamation</v>
      </c>
      <c r="K13" s="1">
        <f ca="1">IF(Config!A5="","",IFERROR((COUNTA(INDIRECT("'"&amp;Config!A5&amp;"'!J2:J1000"))-COUNTIF(INDIRECT("'"&amp;Config!A5&amp;"'!J2:J1000"),"None"))/COUNTA(INDIRECT("'"&amp;Config!A5&amp;"'!B2:B1000")),0))</f>
        <v>0</v>
      </c>
      <c r="S13" s="1"/>
    </row>
    <row r="14" spans="2:19" x14ac:dyDescent="0.25">
      <c r="B14" t="str">
        <f>IF(Config!A6="","",Config!A6)</f>
        <v>Retired VM Cleanup</v>
      </c>
      <c r="C14">
        <f ca="1">IF(Config!A6="","",IFERROR(COUNTA(INDIRECT("'"&amp;Config!A6&amp;"'!B2:B1000")),0))</f>
        <v>19</v>
      </c>
      <c r="D14">
        <f ca="1">IF(Config!A6="","",IFERROR(COUNTIF(INDIRECT("'"&amp;Config!A6&amp;"'!B2:B1000"),"Completed"),0))</f>
        <v>0</v>
      </c>
      <c r="E14">
        <f ca="1">IF(Config!A6="","",IFERROR(COUNTIF(INDIRECT("'"&amp;Config!A6&amp;"'!B2:B1000"),"In Progress"),0))</f>
        <v>0</v>
      </c>
      <c r="F14">
        <f ca="1">IF(Config!A6="","",IFERROR(COUNTIF(INDIRECT("'"&amp;Config!A6&amp;"'!B2:B1000"),"Overdue"),0))</f>
        <v>0</v>
      </c>
      <c r="G14">
        <f ca="1">IF(Config!A6="","",IFERROR(COUNTIF(INDIRECT("'"&amp;Config!A6&amp;"'!B2:B1000"),"Not Started"),0))</f>
        <v>19</v>
      </c>
      <c r="H14" s="1">
        <f ca="1">IF(Config!A6="","",IFERROR(COUNTIF(INDIRECT("'"&amp;Config!A6&amp;"'!B2:B1000"),"Completed")/COUNTA(INDIRECT("'"&amp;Config!A6&amp;"'!B2:B1000")),0))</f>
        <v>0</v>
      </c>
      <c r="J14" t="str">
        <f>IF(Config!A6="","",Config!A6)</f>
        <v>Retired VM Cleanup</v>
      </c>
      <c r="K14" s="1">
        <f ca="1">IF(Config!A6="","",IFERROR((COUNTA(INDIRECT("'"&amp;Config!A6&amp;"'!J2:J1000"))-COUNTIF(INDIRECT("'"&amp;Config!A6&amp;"'!J2:J1000"),"None"))/COUNTA(INDIRECT("'"&amp;Config!A6&amp;"'!B2:B1000")),0))</f>
        <v>0</v>
      </c>
      <c r="S14" s="1"/>
    </row>
    <row r="15" spans="2:19" x14ac:dyDescent="0.25">
      <c r="B15" t="str">
        <f>IF(Config!A7="","",Config!A7)</f>
        <v>Zerto Scripts</v>
      </c>
      <c r="C15">
        <f ca="1">IF(Config!A7="","",IFERROR(COUNTA(INDIRECT("'"&amp;Config!A7&amp;"'!B2:B1000")),0))</f>
        <v>19</v>
      </c>
      <c r="D15">
        <f ca="1">IF(Config!A7="","",IFERROR(COUNTIF(INDIRECT("'"&amp;Config!A7&amp;"'!B2:B1000"),"Completed"),0))</f>
        <v>0</v>
      </c>
      <c r="E15">
        <f ca="1">IF(Config!A7="","",IFERROR(COUNTIF(INDIRECT("'"&amp;Config!A7&amp;"'!B2:B1000"),"In Progress"),0))</f>
        <v>0</v>
      </c>
      <c r="F15">
        <f ca="1">IF(Config!A7="","",IFERROR(COUNTIF(INDIRECT("'"&amp;Config!A7&amp;"'!B2:B1000"),"Overdue"),0))</f>
        <v>0</v>
      </c>
      <c r="G15">
        <f ca="1">IF(Config!A7="","",IFERROR(COUNTIF(INDIRECT("'"&amp;Config!A7&amp;"'!B2:B1000"),"Not Started"),0))</f>
        <v>19</v>
      </c>
      <c r="H15" s="1">
        <f ca="1">IF(Config!A7="","",IFERROR(COUNTIF(INDIRECT("'"&amp;Config!A7&amp;"'!B2:B1000"),"Completed")/COUNTA(INDIRECT("'"&amp;Config!A7&amp;"'!B2:B1000")),0))</f>
        <v>0</v>
      </c>
      <c r="J15" t="str">
        <f>IF(Config!A7="","",Config!A7)</f>
        <v>Zerto Scripts</v>
      </c>
      <c r="K15" s="1">
        <f ca="1">IF(Config!A7="","",IFERROR((COUNTA(INDIRECT("'"&amp;Config!A7&amp;"'!J2:J1000"))-COUNTIF(INDIRECT("'"&amp;Config!A7&amp;"'!J2:J1000"),"None"))/COUNTA(INDIRECT("'"&amp;Config!A7&amp;"'!B2:B1000")),0))</f>
        <v>0</v>
      </c>
      <c r="S15" s="1"/>
    </row>
    <row r="16" spans="2:19" x14ac:dyDescent="0.25">
      <c r="B16" t="str">
        <f>IF(Config!A8="","",Config!A8)</f>
        <v/>
      </c>
      <c r="C16" t="str">
        <f ca="1">IF(Config!A8="","",IFERROR(COUNTA(INDIRECT("'"&amp;Config!A8&amp;"'!B2:B1000")),0))</f>
        <v/>
      </c>
      <c r="D16" t="str">
        <f ca="1">IF(Config!A8="","",IFERROR(COUNTIF(INDIRECT("'"&amp;Config!A8&amp;"'!B2:B1000"),"Completed"),0))</f>
        <v/>
      </c>
      <c r="E16" t="str">
        <f ca="1">IF(Config!A8="","",IFERROR(COUNTIF(INDIRECT("'"&amp;Config!A8&amp;"'!B2:B1000"),"In Progress"),0))</f>
        <v/>
      </c>
      <c r="F16" t="str">
        <f ca="1">IF(Config!A8="","",IFERROR(COUNTIF(INDIRECT("'"&amp;Config!A8&amp;"'!B2:B1000"),"Overdue"),0))</f>
        <v/>
      </c>
      <c r="G16" t="str">
        <f ca="1">IF(Config!A8="","",IFERROR(COUNTIF(INDIRECT("'"&amp;Config!A8&amp;"'!B2:B1000"),"Not Started"),0))</f>
        <v/>
      </c>
      <c r="H16" s="1" t="str">
        <f ca="1">IF(Config!A8="","",IFERROR(COUNTIF(INDIRECT("'"&amp;Config!A8&amp;"'!B2:B1000"),"Completed")/COUNTA(INDIRECT("'"&amp;Config!A8&amp;"'!B2:B1000")),0))</f>
        <v/>
      </c>
      <c r="J16" t="str">
        <f>IF(Config!A8="","",Config!A8)</f>
        <v/>
      </c>
      <c r="K16" s="1" t="str">
        <f ca="1">IF(Config!A8="","",IFERROR((COUNTA(INDIRECT("'"&amp;Config!A8&amp;"'!J2:J1000"))-COUNTIF(INDIRECT("'"&amp;Config!A8&amp;"'!J2:J1000"),"None"))/COUNTA(INDIRECT("'"&amp;Config!A8&amp;"'!B2:B1000")),0))</f>
        <v/>
      </c>
      <c r="S16" s="1"/>
    </row>
    <row r="17" spans="2:11" x14ac:dyDescent="0.25">
      <c r="B17" t="str">
        <f>IF(Config!A9="","",Config!A9)</f>
        <v/>
      </c>
      <c r="C17" t="str">
        <f ca="1">IF(Config!A9="","",IFERROR(COUNTA(INDIRECT("'"&amp;Config!A9&amp;"'!B2:B1000")),0))</f>
        <v/>
      </c>
      <c r="D17" t="str">
        <f ca="1">IF(Config!A9="","",IFERROR(COUNTIF(INDIRECT("'"&amp;Config!A9&amp;"'!B2:B1000"),"Completed"),0))</f>
        <v/>
      </c>
      <c r="E17" t="str">
        <f ca="1">IF(Config!A9="","",IFERROR(COUNTIF(INDIRECT("'"&amp;Config!A9&amp;"'!B2:B1000"),"In Progress"),0))</f>
        <v/>
      </c>
      <c r="F17" t="str">
        <f ca="1">IF(Config!A9="","",IFERROR(COUNTIF(INDIRECT("'"&amp;Config!A9&amp;"'!B2:B1000"),"Overdue"),0))</f>
        <v/>
      </c>
      <c r="G17" t="str">
        <f ca="1">IF(Config!A9="","",IFERROR(COUNTIF(INDIRECT("'"&amp;Config!A9&amp;"'!B2:B1000"),"Not Started"),0))</f>
        <v/>
      </c>
      <c r="H17" s="1" t="str">
        <f ca="1">IF(Config!A9="","",IFERROR(COUNTIF(INDIRECT("'"&amp;Config!A9&amp;"'!B2:B1000"),"Completed")/COUNTA(INDIRECT("'"&amp;Config!A9&amp;"'!B2:B1000")),0))</f>
        <v/>
      </c>
      <c r="J17" t="str">
        <f>IF(Config!A9="","",Config!A9)</f>
        <v/>
      </c>
      <c r="K17" s="1" t="str">
        <f ca="1">IF(Config!A9="","",IFERROR((COUNTA(INDIRECT("'"&amp;Config!A9&amp;"'!J2:J1000"))-COUNTIF(INDIRECT("'"&amp;Config!A9&amp;"'!J2:J1000"),"None"))/COUNTA(INDIRECT("'"&amp;Config!A9&amp;"'!B2:B1000")),0))</f>
        <v/>
      </c>
    </row>
    <row r="18" spans="2:11" x14ac:dyDescent="0.25">
      <c r="B18" t="str">
        <f>IF(Config!A10="","",Config!A10)</f>
        <v/>
      </c>
      <c r="C18" t="str">
        <f ca="1">IF(Config!A10="","",IFERROR(COUNTA(INDIRECT("'"&amp;Config!A10&amp;"'!B2:B1000")),0))</f>
        <v/>
      </c>
      <c r="D18" t="str">
        <f ca="1">IF(Config!A10="","",IFERROR(COUNTIF(INDIRECT("'"&amp;Config!A10&amp;"'!B2:B1000"),"Completed"),0))</f>
        <v/>
      </c>
      <c r="E18" t="str">
        <f ca="1">IF(Config!A10="","",IFERROR(COUNTIF(INDIRECT("'"&amp;Config!A10&amp;"'!B2:B1000"),"In Progress"),0))</f>
        <v/>
      </c>
      <c r="F18" t="str">
        <f ca="1">IF(Config!A10="","",IFERROR(COUNTIF(INDIRECT("'"&amp;Config!A10&amp;"'!B2:B1000"),"Overdue"),0))</f>
        <v/>
      </c>
      <c r="G18" t="str">
        <f ca="1">IF(Config!A10="","",IFERROR(COUNTIF(INDIRECT("'"&amp;Config!A10&amp;"'!B2:B1000"),"Not Started"),0))</f>
        <v/>
      </c>
      <c r="H18" s="1" t="str">
        <f ca="1">IF(Config!A10="","",IFERROR(COUNTIF(INDIRECT("'"&amp;Config!A10&amp;"'!B2:B1000"),"Completed")/COUNTA(INDIRECT("'"&amp;Config!A10&amp;"'!B2:B1000")),0))</f>
        <v/>
      </c>
      <c r="J18" t="str">
        <f>IF(Config!A10="","",Config!A10)</f>
        <v/>
      </c>
      <c r="K18" s="1" t="str">
        <f ca="1">IF(Config!A10="","",IFERROR((COUNTA(INDIRECT("'"&amp;Config!A10&amp;"'!J2:J1000"))-COUNTIF(INDIRECT("'"&amp;Config!A10&amp;"'!J2:J1000"),"None"))/COUNTA(INDIRECT("'"&amp;Config!A10&amp;"'!B2:B1000")),0))</f>
        <v/>
      </c>
    </row>
    <row r="19" spans="2:11" x14ac:dyDescent="0.25">
      <c r="B19" t="str">
        <f>IF(Config!A11="","",Config!A11)</f>
        <v/>
      </c>
      <c r="C19" t="str">
        <f ca="1">IF(Config!A11="","",IFERROR(COUNTA(INDIRECT("'"&amp;Config!A11&amp;"'!B2:B1000")),0))</f>
        <v/>
      </c>
      <c r="D19" t="str">
        <f ca="1">IF(Config!A11="","",IFERROR(COUNTIF(INDIRECT("'"&amp;Config!A11&amp;"'!B2:B1000"),"Completed"),0))</f>
        <v/>
      </c>
      <c r="E19" t="str">
        <f ca="1">IF(Config!A11="","",IFERROR(COUNTIF(INDIRECT("'"&amp;Config!A11&amp;"'!B2:B1000"),"In Progress"),0))</f>
        <v/>
      </c>
      <c r="F19" t="str">
        <f ca="1">IF(Config!A11="","",IFERROR(COUNTIF(INDIRECT("'"&amp;Config!A11&amp;"'!B2:B1000"),"Overdue"),0))</f>
        <v/>
      </c>
      <c r="G19" t="str">
        <f ca="1">IF(Config!A11="","",IFERROR(COUNTIF(INDIRECT("'"&amp;Config!A11&amp;"'!B2:B1000"),"Not Started"),0))</f>
        <v/>
      </c>
      <c r="H19" s="1" t="str">
        <f ca="1">IF(Config!A11="","",IFERROR(COUNTIF(INDIRECT("'"&amp;Config!A11&amp;"'!B2:B1000"),"Completed")/COUNTA(INDIRECT("'"&amp;Config!A11&amp;"'!B2:B1000")),0))</f>
        <v/>
      </c>
      <c r="J19" t="str">
        <f>IF(Config!A11="","",Config!A11)</f>
        <v/>
      </c>
      <c r="K19" s="1" t="str">
        <f ca="1">IF(Config!A11="","",IFERROR((COUNTA(INDIRECT("'"&amp;Config!A11&amp;"'!J2:J1000"))-COUNTIF(INDIRECT("'"&amp;Config!A11&amp;"'!J2:J1000"),"None"))/COUNTA(INDIRECT("'"&amp;Config!A11&amp;"'!B2:B1000")),0))</f>
        <v/>
      </c>
    </row>
    <row r="20" spans="2:11" x14ac:dyDescent="0.25">
      <c r="B20" t="str">
        <f>IF(Config!A12="","",Config!A12)</f>
        <v/>
      </c>
      <c r="C20" t="str">
        <f ca="1">IF(Config!A12="","",IFERROR(COUNTA(INDIRECT("'"&amp;Config!A12&amp;"'!B2:B1000")),0))</f>
        <v/>
      </c>
      <c r="D20" t="str">
        <f ca="1">IF(Config!A12="","",IFERROR(COUNTIF(INDIRECT("'"&amp;Config!A12&amp;"'!B2:B1000"),"Completed"),0))</f>
        <v/>
      </c>
      <c r="E20" t="str">
        <f ca="1">IF(Config!A12="","",IFERROR(COUNTIF(INDIRECT("'"&amp;Config!A12&amp;"'!B2:B1000"),"In Progress"),0))</f>
        <v/>
      </c>
      <c r="F20" t="str">
        <f ca="1">IF(Config!A12="","",IFERROR(COUNTIF(INDIRECT("'"&amp;Config!A12&amp;"'!B2:B1000"),"Overdue"),0))</f>
        <v/>
      </c>
      <c r="G20" t="str">
        <f ca="1">IF(Config!A12="","",IFERROR(COUNTIF(INDIRECT("'"&amp;Config!A12&amp;"'!B2:B1000"),"Not Started"),0))</f>
        <v/>
      </c>
      <c r="H20" s="1" t="str">
        <f ca="1">IF(Config!A12="","",IFERROR(COUNTIF(INDIRECT("'"&amp;Config!A12&amp;"'!B2:B1000"),"Completed")/COUNTA(INDIRECT("'"&amp;Config!A12&amp;"'!B2:B1000")),0))</f>
        <v/>
      </c>
      <c r="J20" t="str">
        <f>IF(Config!A12="","",Config!A12)</f>
        <v/>
      </c>
      <c r="K20" s="1" t="str">
        <f ca="1">IF(Config!A12="","",IFERROR((COUNTA(INDIRECT("'"&amp;Config!A12&amp;"'!J2:J1000"))-COUNTIF(INDIRECT("'"&amp;Config!A12&amp;"'!J2:J1000"),"None"))/COUNTA(INDIRECT("'"&amp;Config!A12&amp;"'!B2:B1000")),0))</f>
        <v/>
      </c>
    </row>
    <row r="21" spans="2:11" x14ac:dyDescent="0.25">
      <c r="B21" t="str">
        <f>IF(Config!A13="","",Config!A13)</f>
        <v/>
      </c>
      <c r="C21" t="str">
        <f ca="1">IF(Config!A13="","",IFERROR(COUNTA(INDIRECT("'"&amp;Config!A13&amp;"'!B2:B1000")),0))</f>
        <v/>
      </c>
      <c r="D21" t="str">
        <f ca="1">IF(Config!A13="","",IFERROR(COUNTIF(INDIRECT("'"&amp;Config!A13&amp;"'!B2:B1000"),"Completed"),0))</f>
        <v/>
      </c>
      <c r="E21" t="str">
        <f ca="1">IF(Config!A13="","",IFERROR(COUNTIF(INDIRECT("'"&amp;Config!A13&amp;"'!B2:B1000"),"In Progress"),0))</f>
        <v/>
      </c>
      <c r="F21" t="str">
        <f ca="1">IF(Config!A13="","",IFERROR(COUNTIF(INDIRECT("'"&amp;Config!A13&amp;"'!B2:B1000"),"Overdue"),0))</f>
        <v/>
      </c>
      <c r="G21" t="str">
        <f ca="1">IF(Config!A13="","",IFERROR(COUNTIF(INDIRECT("'"&amp;Config!A13&amp;"'!B2:B1000"),"Not Started"),0))</f>
        <v/>
      </c>
      <c r="H21" s="1" t="str">
        <f ca="1">IF(Config!A13="","",IFERROR(COUNTIF(INDIRECT("'"&amp;Config!A13&amp;"'!B2:B1000"),"Completed")/COUNTA(INDIRECT("'"&amp;Config!A13&amp;"'!B2:B1000")),0))</f>
        <v/>
      </c>
      <c r="J21" t="str">
        <f>IF(Config!A13="","",Config!A13)</f>
        <v/>
      </c>
      <c r="K21" s="1" t="str">
        <f ca="1">IF(Config!A13="","",IFERROR((COUNTA(INDIRECT("'"&amp;Config!A13&amp;"'!J2:J1000"))-COUNTIF(INDIRECT("'"&amp;Config!A13&amp;"'!J2:J1000"),"None"))/COUNTA(INDIRECT("'"&amp;Config!A13&amp;"'!B2:B1000")),0))</f>
        <v/>
      </c>
    </row>
    <row r="22" spans="2:11" x14ac:dyDescent="0.25">
      <c r="B22" t="str">
        <f>IF(Config!A14="","",Config!A14)</f>
        <v/>
      </c>
      <c r="C22" t="str">
        <f ca="1">IF(Config!A14="","",IFERROR(COUNTA(INDIRECT("'"&amp;Config!A14&amp;"'!B2:B1000")),0))</f>
        <v/>
      </c>
      <c r="D22" t="str">
        <f ca="1">IF(Config!A14="","",IFERROR(COUNTIF(INDIRECT("'"&amp;Config!A14&amp;"'!B2:B1000"),"Completed"),0))</f>
        <v/>
      </c>
      <c r="E22" t="str">
        <f ca="1">IF(Config!A14="","",IFERROR(COUNTIF(INDIRECT("'"&amp;Config!A14&amp;"'!B2:B1000"),"In Progress"),0))</f>
        <v/>
      </c>
      <c r="F22" t="str">
        <f ca="1">IF(Config!A14="","",IFERROR(COUNTIF(INDIRECT("'"&amp;Config!A14&amp;"'!B2:B1000"),"Overdue"),0))</f>
        <v/>
      </c>
      <c r="G22" t="str">
        <f ca="1">IF(Config!A14="","",IFERROR(COUNTIF(INDIRECT("'"&amp;Config!A14&amp;"'!B2:B1000"),"Not Started"),0))</f>
        <v/>
      </c>
      <c r="H22" s="1" t="str">
        <f ca="1">IF(Config!A14="","",IFERROR(COUNTIF(INDIRECT("'"&amp;Config!A14&amp;"'!B2:B1000"),"Completed")/COUNTA(INDIRECT("'"&amp;Config!A14&amp;"'!B2:B1000")),0))</f>
        <v/>
      </c>
      <c r="J22" t="str">
        <f>IF(Config!A14="","",Config!A14)</f>
        <v/>
      </c>
      <c r="K22" s="1" t="str">
        <f ca="1">IF(Config!A14="","",IFERROR((COUNTA(INDIRECT("'"&amp;Config!A14&amp;"'!J2:J1000"))-COUNTIF(INDIRECT("'"&amp;Config!A14&amp;"'!J2:J1000"),"None"))/COUNTA(INDIRECT("'"&amp;Config!A14&amp;"'!B2:B1000")),0))</f>
        <v/>
      </c>
    </row>
    <row r="23" spans="2:11" x14ac:dyDescent="0.25">
      <c r="B23" t="str">
        <f>IF(Config!A15="","",Config!A15)</f>
        <v/>
      </c>
      <c r="C23" t="str">
        <f ca="1">IF(Config!A15="","",IFERROR(COUNTA(INDIRECT("'"&amp;Config!A15&amp;"'!B2:B1000")),0))</f>
        <v/>
      </c>
      <c r="D23" t="str">
        <f ca="1">IF(Config!A15="","",IFERROR(COUNTIF(INDIRECT("'"&amp;Config!A15&amp;"'!B2:B1000"),"Completed"),0))</f>
        <v/>
      </c>
      <c r="E23" t="str">
        <f ca="1">IF(Config!A15="","",IFERROR(COUNTIF(INDIRECT("'"&amp;Config!A15&amp;"'!B2:B1000"),"In Progress"),0))</f>
        <v/>
      </c>
      <c r="F23" t="str">
        <f ca="1">IF(Config!A15="","",IFERROR(COUNTIF(INDIRECT("'"&amp;Config!A15&amp;"'!B2:B1000"),"Overdue"),0))</f>
        <v/>
      </c>
      <c r="G23" t="str">
        <f ca="1">IF(Config!A15="","",IFERROR(COUNTIF(INDIRECT("'"&amp;Config!A15&amp;"'!B2:B1000"),"Not Started"),0))</f>
        <v/>
      </c>
      <c r="H23" s="1" t="str">
        <f ca="1">IF(Config!A15="","",IFERROR(COUNTIF(INDIRECT("'"&amp;Config!A15&amp;"'!B2:B1000"),"Completed")/COUNTA(INDIRECT("'"&amp;Config!A15&amp;"'!B2:B1000")),0))</f>
        <v/>
      </c>
      <c r="J23" t="str">
        <f>IF(Config!A15="","",Config!A15)</f>
        <v/>
      </c>
      <c r="K23" s="1" t="str">
        <f ca="1">IF(Config!A15="","",IFERROR((COUNTA(INDIRECT("'"&amp;Config!A15&amp;"'!J2:J1000"))-COUNTIF(INDIRECT("'"&amp;Config!A15&amp;"'!J2:J1000"),"None"))/COUNTA(INDIRECT("'"&amp;Config!A15&amp;"'!B2:B1000")),0))</f>
        <v/>
      </c>
    </row>
    <row r="24" spans="2:11" x14ac:dyDescent="0.25">
      <c r="B24" t="str">
        <f>IF(Config!A16="","",Config!A16)</f>
        <v/>
      </c>
      <c r="C24" t="str">
        <f ca="1">IF(Config!A16="","",IFERROR(COUNTA(INDIRECT("'"&amp;Config!A16&amp;"'!B2:B1000")),0))</f>
        <v/>
      </c>
      <c r="D24" t="str">
        <f ca="1">IF(Config!A16="","",IFERROR(COUNTIF(INDIRECT("'"&amp;Config!A16&amp;"'!B2:B1000"),"Completed"),0))</f>
        <v/>
      </c>
      <c r="E24" t="str">
        <f ca="1">IF(Config!A16="","",IFERROR(COUNTIF(INDIRECT("'"&amp;Config!A16&amp;"'!B2:B1000"),"In Progress"),0))</f>
        <v/>
      </c>
      <c r="F24" t="str">
        <f ca="1">IF(Config!A16="","",IFERROR(COUNTIF(INDIRECT("'"&amp;Config!A16&amp;"'!B2:B1000"),"Overdue"),0))</f>
        <v/>
      </c>
      <c r="G24" t="str">
        <f ca="1">IF(Config!A16="","",IFERROR(COUNTIF(INDIRECT("'"&amp;Config!A16&amp;"'!B2:B1000"),"Not Started"),0))</f>
        <v/>
      </c>
      <c r="H24" s="1" t="str">
        <f ca="1">IF(Config!A16="","",IFERROR(COUNTIF(INDIRECT("'"&amp;Config!A16&amp;"'!B2:B1000"),"Completed")/COUNTA(INDIRECT("'"&amp;Config!A16&amp;"'!B2:B1000")),0))</f>
        <v/>
      </c>
      <c r="J24" t="str">
        <f>IF(Config!A16="","",Config!A16)</f>
        <v/>
      </c>
      <c r="K24" s="1" t="str">
        <f ca="1">IF(Config!A16="","",IFERROR((COUNTA(INDIRECT("'"&amp;Config!A16&amp;"'!J2:J1000"))-COUNTIF(INDIRECT("'"&amp;Config!A16&amp;"'!J2:J1000"),"None"))/COUNTA(INDIRECT("'"&amp;Config!A16&amp;"'!B2:B1000")),0))</f>
        <v/>
      </c>
    </row>
    <row r="25" spans="2:11" x14ac:dyDescent="0.25">
      <c r="B25" t="str">
        <f>IF(Config!A17="","",Config!A17)</f>
        <v/>
      </c>
      <c r="C25" t="str">
        <f ca="1">IF(Config!A17="","",IFERROR(COUNTA(INDIRECT("'"&amp;Config!A17&amp;"'!B2:B1000")),0))</f>
        <v/>
      </c>
      <c r="D25" t="str">
        <f ca="1">IF(Config!A17="","",IFERROR(COUNTIF(INDIRECT("'"&amp;Config!A17&amp;"'!B2:B1000"),"Completed"),0))</f>
        <v/>
      </c>
      <c r="E25" t="str">
        <f ca="1">IF(Config!A17="","",IFERROR(COUNTIF(INDIRECT("'"&amp;Config!A17&amp;"'!B2:B1000"),"In Progress"),0))</f>
        <v/>
      </c>
      <c r="F25" t="str">
        <f ca="1">IF(Config!A17="","",IFERROR(COUNTIF(INDIRECT("'"&amp;Config!A17&amp;"'!B2:B1000"),"Overdue"),0))</f>
        <v/>
      </c>
      <c r="G25" t="str">
        <f ca="1">IF(Config!A17="","",IFERROR(COUNTIF(INDIRECT("'"&amp;Config!A17&amp;"'!B2:B1000"),"Not Started"),0))</f>
        <v/>
      </c>
      <c r="H25" s="1" t="str">
        <f ca="1">IF(Config!A17="","",IFERROR(COUNTIF(INDIRECT("'"&amp;Config!A17&amp;"'!B2:B1000"),"Completed")/COUNTA(INDIRECT("'"&amp;Config!A17&amp;"'!B2:B1000")),0))</f>
        <v/>
      </c>
      <c r="J25" t="str">
        <f>IF(Config!A17="","",Config!A17)</f>
        <v/>
      </c>
      <c r="K25" s="1" t="str">
        <f ca="1">IF(Config!A17="","",IFERROR((COUNTA(INDIRECT("'"&amp;Config!A17&amp;"'!J2:J1000"))-COUNTIF(INDIRECT("'"&amp;Config!A17&amp;"'!J2:J1000"),"None"))/COUNTA(INDIRECT("'"&amp;Config!A17&amp;"'!B2:B1000")),0))</f>
        <v/>
      </c>
    </row>
    <row r="26" spans="2:11" x14ac:dyDescent="0.25">
      <c r="B26" t="str">
        <f>IF(Config!A18="","",Config!A18)</f>
        <v/>
      </c>
      <c r="C26" t="str">
        <f ca="1">IF(Config!A18="","",IFERROR(COUNTA(INDIRECT("'"&amp;Config!A18&amp;"'!B2:B1000")),0))</f>
        <v/>
      </c>
      <c r="D26" t="str">
        <f ca="1">IF(Config!A18="","",IFERROR(COUNTIF(INDIRECT("'"&amp;Config!A18&amp;"'!B2:B1000"),"Completed"),0))</f>
        <v/>
      </c>
      <c r="E26" t="str">
        <f ca="1">IF(Config!A18="","",IFERROR(COUNTIF(INDIRECT("'"&amp;Config!A18&amp;"'!B2:B1000"),"In Progress"),0))</f>
        <v/>
      </c>
      <c r="F26" t="str">
        <f ca="1">IF(Config!A18="","",IFERROR(COUNTIF(INDIRECT("'"&amp;Config!A18&amp;"'!B2:B1000"),"Overdue"),0))</f>
        <v/>
      </c>
      <c r="G26" t="str">
        <f ca="1">IF(Config!A18="","",IFERROR(COUNTIF(INDIRECT("'"&amp;Config!A18&amp;"'!B2:B1000"),"Not Started"),0))</f>
        <v/>
      </c>
      <c r="H26" s="1" t="str">
        <f ca="1">IF(Config!A18="","",IFERROR(COUNTIF(INDIRECT("'"&amp;Config!A18&amp;"'!B2:B1000"),"Completed")/COUNTA(INDIRECT("'"&amp;Config!A18&amp;"'!B2:B1000")),0))</f>
        <v/>
      </c>
      <c r="J26" t="str">
        <f>IF(Config!A18="","",Config!A18)</f>
        <v/>
      </c>
      <c r="K26" s="1" t="str">
        <f ca="1">IF(Config!A18="","",IFERROR((COUNTA(INDIRECT("'"&amp;Config!A18&amp;"'!J2:J1000"))-COUNTIF(INDIRECT("'"&amp;Config!A18&amp;"'!J2:J1000"),"None"))/COUNTA(INDIRECT("'"&amp;Config!A18&amp;"'!B2:B1000")),0))</f>
        <v/>
      </c>
    </row>
    <row r="27" spans="2:11" x14ac:dyDescent="0.25">
      <c r="B27" t="str">
        <f>IF(Config!A19="","",Config!A19)</f>
        <v/>
      </c>
      <c r="C27" t="str">
        <f ca="1">IF(Config!A19="","",IFERROR(COUNTA(INDIRECT("'"&amp;Config!A19&amp;"'!B2:B1000")),0))</f>
        <v/>
      </c>
      <c r="D27" t="str">
        <f ca="1">IF(Config!A19="","",IFERROR(COUNTIF(INDIRECT("'"&amp;Config!A19&amp;"'!B2:B1000"),"Completed"),0))</f>
        <v/>
      </c>
      <c r="E27" t="str">
        <f ca="1">IF(Config!A19="","",IFERROR(COUNTIF(INDIRECT("'"&amp;Config!A19&amp;"'!B2:B1000"),"In Progress"),0))</f>
        <v/>
      </c>
      <c r="F27" t="str">
        <f ca="1">IF(Config!A19="","",IFERROR(COUNTIF(INDIRECT("'"&amp;Config!A19&amp;"'!B2:B1000"),"Overdue"),0))</f>
        <v/>
      </c>
      <c r="G27" t="str">
        <f ca="1">IF(Config!A19="","",IFERROR(COUNTIF(INDIRECT("'"&amp;Config!A19&amp;"'!B2:B1000"),"Not Started"),0))</f>
        <v/>
      </c>
      <c r="H27" s="1" t="str">
        <f ca="1">IF(Config!A19="","",IFERROR(COUNTIF(INDIRECT("'"&amp;Config!A19&amp;"'!B2:B1000"),"Completed")/COUNTA(INDIRECT("'"&amp;Config!A19&amp;"'!B2:B1000")),0))</f>
        <v/>
      </c>
      <c r="J27" t="str">
        <f>IF(Config!A19="","",Config!A19)</f>
        <v/>
      </c>
      <c r="K27" s="1" t="str">
        <f ca="1">IF(Config!A19="","",IFERROR((COUNTA(INDIRECT("'"&amp;Config!A19&amp;"'!J2:J1000"))-COUNTIF(INDIRECT("'"&amp;Config!A19&amp;"'!J2:J1000"),"None"))/COUNTA(INDIRECT("'"&amp;Config!A19&amp;"'!B2:B1000")),0))</f>
        <v/>
      </c>
    </row>
    <row r="28" spans="2:11" x14ac:dyDescent="0.25">
      <c r="B28" t="str">
        <f>IF(Config!A20="","",Config!A20)</f>
        <v/>
      </c>
      <c r="C28" t="str">
        <f ca="1">IF(Config!A20="","",IFERROR(COUNTA(INDIRECT("'"&amp;Config!A20&amp;"'!B2:B1000")),0))</f>
        <v/>
      </c>
      <c r="D28" t="str">
        <f ca="1">IF(Config!A20="","",IFERROR(COUNTIF(INDIRECT("'"&amp;Config!A20&amp;"'!B2:B1000"),"Completed"),0))</f>
        <v/>
      </c>
      <c r="E28" t="str">
        <f ca="1">IF(Config!A20="","",IFERROR(COUNTIF(INDIRECT("'"&amp;Config!A20&amp;"'!B2:B1000"),"In Progress"),0))</f>
        <v/>
      </c>
      <c r="F28" t="str">
        <f ca="1">IF(Config!A20="","",IFERROR(COUNTIF(INDIRECT("'"&amp;Config!A20&amp;"'!B2:B1000"),"Overdue"),0))</f>
        <v/>
      </c>
      <c r="G28" t="str">
        <f ca="1">IF(Config!A20="","",IFERROR(COUNTIF(INDIRECT("'"&amp;Config!A20&amp;"'!B2:B1000"),"Not Started"),0))</f>
        <v/>
      </c>
      <c r="H28" s="1" t="str">
        <f ca="1">IF(Config!A20="","",IFERROR(COUNTIF(INDIRECT("'"&amp;Config!A20&amp;"'!B2:B1000"),"Completed")/COUNTA(INDIRECT("'"&amp;Config!A20&amp;"'!B2:B1000")),0))</f>
        <v/>
      </c>
      <c r="J28" t="str">
        <f>IF(Config!A20="","",Config!A20)</f>
        <v/>
      </c>
      <c r="K28" s="1" t="str">
        <f ca="1">IF(Config!A20="","",IFERROR((COUNTA(INDIRECT("'"&amp;Config!A20&amp;"'!J2:J1000"))-COUNTIF(INDIRECT("'"&amp;Config!A20&amp;"'!J2:J1000"),"None"))/COUNTA(INDIRECT("'"&amp;Config!A20&amp;"'!B2:B1000")),0))</f>
        <v/>
      </c>
    </row>
    <row r="29" spans="2:11" x14ac:dyDescent="0.25">
      <c r="B29" t="str">
        <f>IF(Config!A21="","",Config!A21)</f>
        <v/>
      </c>
      <c r="C29" t="str">
        <f ca="1">IF(Config!A21="","",IFERROR(COUNTA(INDIRECT("'"&amp;Config!A21&amp;"'!B2:B1000")),0))</f>
        <v/>
      </c>
      <c r="D29" t="str">
        <f ca="1">IF(Config!A21="","",IFERROR(COUNTIF(INDIRECT("'"&amp;Config!A21&amp;"'!B2:B1000"),"Completed"),0))</f>
        <v/>
      </c>
      <c r="E29" t="str">
        <f ca="1">IF(Config!A21="","",IFERROR(COUNTIF(INDIRECT("'"&amp;Config!A21&amp;"'!B2:B1000"),"In Progress"),0))</f>
        <v/>
      </c>
      <c r="F29" t="str">
        <f ca="1">IF(Config!A21="","",IFERROR(COUNTIF(INDIRECT("'"&amp;Config!A21&amp;"'!B2:B1000"),"Overdue"),0))</f>
        <v/>
      </c>
      <c r="G29" t="str">
        <f ca="1">IF(Config!A21="","",IFERROR(COUNTIF(INDIRECT("'"&amp;Config!A21&amp;"'!B2:B1000"),"Not Started"),0))</f>
        <v/>
      </c>
      <c r="H29" s="1" t="str">
        <f ca="1">IF(Config!A21="","",IFERROR(COUNTIF(INDIRECT("'"&amp;Config!A21&amp;"'!B2:B1000"),"Completed")/COUNTA(INDIRECT("'"&amp;Config!A21&amp;"'!B2:B1000")),0))</f>
        <v/>
      </c>
      <c r="J29" t="str">
        <f>IF(Config!A21="","",Config!A21)</f>
        <v/>
      </c>
      <c r="K29" s="1" t="str">
        <f ca="1">IF(Config!A21="","",IFERROR((COUNTA(INDIRECT("'"&amp;Config!A21&amp;"'!J2:J1000"))-COUNTIF(INDIRECT("'"&amp;Config!A21&amp;"'!J2:J1000"),"None"))/COUNTA(INDIRECT("'"&amp;Config!A21&amp;"'!B2:B1000")),0))</f>
        <v/>
      </c>
    </row>
    <row r="30" spans="2:11" x14ac:dyDescent="0.25">
      <c r="B30" t="str">
        <f>IF(Config!A22="","",Config!A22)</f>
        <v/>
      </c>
      <c r="C30" t="str">
        <f ca="1">IF(Config!A22="","",IFERROR(COUNTA(INDIRECT("'"&amp;Config!A22&amp;"'!B2:B1000")),0))</f>
        <v/>
      </c>
      <c r="D30" t="str">
        <f ca="1">IF(Config!A22="","",IFERROR(COUNTIF(INDIRECT("'"&amp;Config!A22&amp;"'!B2:B1000"),"Completed"),0))</f>
        <v/>
      </c>
      <c r="E30" t="str">
        <f ca="1">IF(Config!A22="","",IFERROR(COUNTIF(INDIRECT("'"&amp;Config!A22&amp;"'!B2:B1000"),"In Progress"),0))</f>
        <v/>
      </c>
      <c r="F30" t="str">
        <f ca="1">IF(Config!A22="","",IFERROR(COUNTIF(INDIRECT("'"&amp;Config!A22&amp;"'!B2:B1000"),"Overdue"),0))</f>
        <v/>
      </c>
      <c r="G30" t="str">
        <f ca="1">IF(Config!A22="","",IFERROR(COUNTIF(INDIRECT("'"&amp;Config!A22&amp;"'!B2:B1000"),"Not Started"),0))</f>
        <v/>
      </c>
      <c r="H30" s="1" t="str">
        <f ca="1">IF(Config!A22="","",IFERROR(COUNTIF(INDIRECT("'"&amp;Config!A22&amp;"'!B2:B1000"),"Completed")/COUNTA(INDIRECT("'"&amp;Config!A22&amp;"'!B2:B1000")),0))</f>
        <v/>
      </c>
      <c r="J30" t="str">
        <f>IF(Config!A22="","",Config!A22)</f>
        <v/>
      </c>
      <c r="K30" s="1" t="str">
        <f ca="1">IF(Config!A22="","",IFERROR((COUNTA(INDIRECT("'"&amp;Config!A22&amp;"'!J2:J1000"))-COUNTIF(INDIRECT("'"&amp;Config!A22&amp;"'!J2:J1000"),"None"))/COUNTA(INDIRECT("'"&amp;Config!A22&amp;"'!B2:B1000")),0))</f>
        <v/>
      </c>
    </row>
    <row r="31" spans="2:11" x14ac:dyDescent="0.25">
      <c r="B31" t="str">
        <f>IF(Config!A23="","",Config!A23)</f>
        <v/>
      </c>
      <c r="C31" t="str">
        <f ca="1">IF(Config!A23="","",IFERROR(COUNTA(INDIRECT("'"&amp;Config!A23&amp;"'!B2:B1000")),0))</f>
        <v/>
      </c>
      <c r="D31" t="str">
        <f ca="1">IF(Config!A23="","",IFERROR(COUNTIF(INDIRECT("'"&amp;Config!A23&amp;"'!B2:B1000"),"Completed"),0))</f>
        <v/>
      </c>
      <c r="E31" t="str">
        <f ca="1">IF(Config!A23="","",IFERROR(COUNTIF(INDIRECT("'"&amp;Config!A23&amp;"'!B2:B1000"),"In Progress"),0))</f>
        <v/>
      </c>
      <c r="F31" t="str">
        <f ca="1">IF(Config!A23="","",IFERROR(COUNTIF(INDIRECT("'"&amp;Config!A23&amp;"'!B2:B1000"),"Overdue"),0))</f>
        <v/>
      </c>
      <c r="G31" t="str">
        <f ca="1">IF(Config!A23="","",IFERROR(COUNTIF(INDIRECT("'"&amp;Config!A23&amp;"'!B2:B1000"),"Not Started"),0))</f>
        <v/>
      </c>
      <c r="H31" s="1" t="str">
        <f ca="1">IF(Config!A23="","",IFERROR(COUNTIF(INDIRECT("'"&amp;Config!A23&amp;"'!B2:B1000"),"Completed")/COUNTA(INDIRECT("'"&amp;Config!A23&amp;"'!B2:B1000")),0))</f>
        <v/>
      </c>
      <c r="J31" t="str">
        <f>IF(Config!A23="","",Config!A23)</f>
        <v/>
      </c>
      <c r="K31" s="1" t="str">
        <f ca="1">IF(Config!A23="","",IFERROR((COUNTA(INDIRECT("'"&amp;Config!A23&amp;"'!J2:J1000"))-COUNTIF(INDIRECT("'"&amp;Config!A23&amp;"'!J2:J1000"),"None"))/COUNTA(INDIRECT("'"&amp;Config!A23&amp;"'!B2:B1000")),0))</f>
        <v/>
      </c>
    </row>
  </sheetData>
  <mergeCells count="2">
    <mergeCell ref="B2:K2"/>
    <mergeCell ref="J10:K1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451C89-5360-42A1-A90C-D3934110E0B4}">
  <dimension ref="A1:S220"/>
  <sheetViews>
    <sheetView workbookViewId="0">
      <selection activeCell="D121" sqref="D121"/>
    </sheetView>
  </sheetViews>
  <sheetFormatPr defaultRowHeight="15" x14ac:dyDescent="0.25"/>
  <cols>
    <col min="1" max="1" width="30.42578125" customWidth="1"/>
    <col min="2" max="5" width="16.140625" customWidth="1"/>
    <col min="6" max="6" width="19" customWidth="1"/>
    <col min="7" max="7" width="16.140625" customWidth="1"/>
    <col min="18" max="19" width="0" hidden="1" customWidth="1"/>
  </cols>
  <sheetData>
    <row r="1" spans="1:19" ht="21" x14ac:dyDescent="0.35">
      <c r="A1" s="11" t="s">
        <v>57</v>
      </c>
      <c r="B1" s="8"/>
      <c r="C1" s="8"/>
      <c r="D1" s="8"/>
      <c r="E1" s="8"/>
      <c r="F1" s="8"/>
      <c r="G1" s="8"/>
      <c r="H1" s="8"/>
    </row>
    <row r="2" spans="1:19" x14ac:dyDescent="0.25">
      <c r="A2" s="12" t="s">
        <v>132</v>
      </c>
      <c r="B2" s="8"/>
      <c r="C2" s="8"/>
      <c r="D2" s="8"/>
      <c r="E2" s="8"/>
      <c r="F2" s="8"/>
      <c r="G2" s="8"/>
      <c r="H2" s="8"/>
    </row>
    <row r="4" spans="1:19" x14ac:dyDescent="0.25">
      <c r="A4" s="13" t="s">
        <v>58</v>
      </c>
      <c r="B4" s="8"/>
      <c r="C4" s="8"/>
      <c r="R4" s="7" t="s">
        <v>99</v>
      </c>
    </row>
    <row r="5" spans="1:19" x14ac:dyDescent="0.25">
      <c r="A5" s="7" t="s">
        <v>59</v>
      </c>
      <c r="B5" s="7" t="s">
        <v>60</v>
      </c>
      <c r="C5" s="7" t="s">
        <v>61</v>
      </c>
      <c r="R5" t="s">
        <v>2</v>
      </c>
      <c r="S5">
        <f ca="1">B8</f>
        <v>0</v>
      </c>
    </row>
    <row r="6" spans="1:19" x14ac:dyDescent="0.25">
      <c r="A6" t="s">
        <v>62</v>
      </c>
      <c r="B6">
        <f>COUNTA(Config!A4:A23)</f>
        <v>4</v>
      </c>
      <c r="C6" t="s">
        <v>69</v>
      </c>
      <c r="R6" t="s">
        <v>3</v>
      </c>
      <c r="S6">
        <f ca="1">B9</f>
        <v>0</v>
      </c>
    </row>
    <row r="7" spans="1:19" x14ac:dyDescent="0.25">
      <c r="A7" t="s">
        <v>63</v>
      </c>
      <c r="B7">
        <f ca="1">B36</f>
        <v>76</v>
      </c>
      <c r="C7" t="s">
        <v>70</v>
      </c>
      <c r="R7" t="s">
        <v>4</v>
      </c>
      <c r="S7">
        <f ca="1">B10</f>
        <v>1</v>
      </c>
    </row>
    <row r="8" spans="1:19" x14ac:dyDescent="0.25">
      <c r="A8" t="s">
        <v>64</v>
      </c>
      <c r="B8">
        <f ca="1">C36</f>
        <v>0</v>
      </c>
      <c r="C8" t="s">
        <v>71</v>
      </c>
      <c r="R8" t="s">
        <v>5</v>
      </c>
      <c r="S8">
        <f ca="1">B11</f>
        <v>75</v>
      </c>
    </row>
    <row r="9" spans="1:19" x14ac:dyDescent="0.25">
      <c r="A9" t="s">
        <v>65</v>
      </c>
      <c r="B9">
        <f ca="1">D36</f>
        <v>0</v>
      </c>
      <c r="C9" t="s">
        <v>72</v>
      </c>
    </row>
    <row r="10" spans="1:19" x14ac:dyDescent="0.25">
      <c r="A10" t="s">
        <v>66</v>
      </c>
      <c r="B10">
        <f ca="1">E36</f>
        <v>1</v>
      </c>
      <c r="C10" t="s">
        <v>73</v>
      </c>
      <c r="R10" s="7" t="s">
        <v>110</v>
      </c>
    </row>
    <row r="11" spans="1:19" x14ac:dyDescent="0.25">
      <c r="A11" t="s">
        <v>67</v>
      </c>
      <c r="B11">
        <f ca="1">F36</f>
        <v>75</v>
      </c>
      <c r="C11" t="s">
        <v>74</v>
      </c>
      <c r="R11" t="str">
        <f>IF(Config!A4="","",Config!A4)</f>
        <v>ODC Cleanup</v>
      </c>
      <c r="S11">
        <f ca="1">IF(Config!A4="","",F193)</f>
        <v>0.47368421052631582</v>
      </c>
    </row>
    <row r="12" spans="1:19" x14ac:dyDescent="0.25">
      <c r="A12" t="s">
        <v>68</v>
      </c>
      <c r="B12" s="14">
        <f ca="1">G36</f>
        <v>0</v>
      </c>
      <c r="C12" t="s">
        <v>75</v>
      </c>
      <c r="R12" t="str">
        <f>IF(Config!A5="","",Config!A5)</f>
        <v>Datastore Reclamation</v>
      </c>
      <c r="S12">
        <f ca="1">IF(Config!A5="","",F194)</f>
        <v>0.5</v>
      </c>
    </row>
    <row r="13" spans="1:19" x14ac:dyDescent="0.25">
      <c r="R13" t="str">
        <f>IF(Config!A6="","",Config!A6)</f>
        <v>Retired VM Cleanup</v>
      </c>
      <c r="S13">
        <f ca="1">IF(Config!A6="","",F195)</f>
        <v>0.5</v>
      </c>
    </row>
    <row r="14" spans="1:19" x14ac:dyDescent="0.25">
      <c r="A14" s="13" t="s">
        <v>76</v>
      </c>
      <c r="B14" s="8"/>
      <c r="C14" s="8"/>
      <c r="D14" s="8"/>
      <c r="E14" s="8"/>
      <c r="F14" s="8"/>
      <c r="G14" s="8"/>
      <c r="R14" t="str">
        <f>IF(Config!A7="","",Config!A7)</f>
        <v>Zerto Scripts</v>
      </c>
      <c r="S14">
        <f ca="1">IF(Config!A7="","",F196)</f>
        <v>0.5</v>
      </c>
    </row>
    <row r="15" spans="1:19" x14ac:dyDescent="0.25">
      <c r="A15" s="7" t="s">
        <v>9</v>
      </c>
      <c r="B15" s="7" t="s">
        <v>52</v>
      </c>
      <c r="C15" s="7" t="s">
        <v>2</v>
      </c>
      <c r="D15" s="7" t="s">
        <v>3</v>
      </c>
      <c r="E15" s="7" t="s">
        <v>4</v>
      </c>
      <c r="F15" s="7" t="s">
        <v>5</v>
      </c>
      <c r="G15" s="7" t="s">
        <v>26</v>
      </c>
      <c r="R15" t="str">
        <f>IF(Config!A8="","",Config!A8)</f>
        <v/>
      </c>
      <c r="S15" t="str">
        <f>IF(Config!A8="","",F197)</f>
        <v/>
      </c>
    </row>
    <row r="16" spans="1:19" x14ac:dyDescent="0.25">
      <c r="A16" t="str">
        <f>IF(Config!A4="","",Config!A4)</f>
        <v>ODC Cleanup</v>
      </c>
      <c r="B16">
        <f ca="1">IF(Config!A4="","",IFERROR(COUNTA(INDIRECT("'"&amp;Config!A4&amp;"'!B2:B1000")),0))</f>
        <v>19</v>
      </c>
      <c r="C16">
        <f ca="1">IF(Config!A4="","",IFERROR(COUNTIF(INDIRECT("'"&amp;Config!A4&amp;"'!B2:B1000"),"Completed"),0))</f>
        <v>0</v>
      </c>
      <c r="D16">
        <f ca="1">IF(Config!A4="","",IFERROR(COUNTIF(INDIRECT("'"&amp;Config!A4&amp;"'!B2:B1000"),"In Progress"),0))</f>
        <v>0</v>
      </c>
      <c r="E16">
        <f ca="1">IF(Config!A4="","",IFERROR(COUNTIF(INDIRECT("'"&amp;Config!A4&amp;"'!B2:B1000"),"Overdue"),0))</f>
        <v>1</v>
      </c>
      <c r="F16">
        <f ca="1">IF(Config!A4="","",IFERROR(COUNTIF(INDIRECT("'"&amp;Config!A4&amp;"'!B2:B1000"),"Not Started"),0))</f>
        <v>18</v>
      </c>
      <c r="G16" s="14">
        <f ca="1">IF(Config!A4="","",IFERROR(COUNTIF(INDIRECT("'"&amp;Config!A4&amp;"'!B2:B1000"),"Completed")/COUNTA(INDIRECT("'"&amp;Config!A4&amp;"'!B2:B1000")),0))</f>
        <v>0</v>
      </c>
      <c r="R16" t="str">
        <f>IF(Config!A9="","",Config!A9)</f>
        <v/>
      </c>
      <c r="S16" t="str">
        <f>IF(Config!A9="","",F198)</f>
        <v/>
      </c>
    </row>
    <row r="17" spans="1:19" x14ac:dyDescent="0.25">
      <c r="A17" t="str">
        <f>IF(Config!A5="","",Config!A5)</f>
        <v>Datastore Reclamation</v>
      </c>
      <c r="B17">
        <f ca="1">IF(Config!A5="","",IFERROR(COUNTA(INDIRECT("'"&amp;Config!A5&amp;"'!B2:B1000")),0))</f>
        <v>19</v>
      </c>
      <c r="C17">
        <f ca="1">IF(Config!A5="","",IFERROR(COUNTIF(INDIRECT("'"&amp;Config!A5&amp;"'!B2:B1000"),"Completed"),0))</f>
        <v>0</v>
      </c>
      <c r="D17">
        <f ca="1">IF(Config!A5="","",IFERROR(COUNTIF(INDIRECT("'"&amp;Config!A5&amp;"'!B2:B1000"),"In Progress"),0))</f>
        <v>0</v>
      </c>
      <c r="E17">
        <f ca="1">IF(Config!A5="","",IFERROR(COUNTIF(INDIRECT("'"&amp;Config!A5&amp;"'!B2:B1000"),"Overdue"),0))</f>
        <v>0</v>
      </c>
      <c r="F17">
        <f ca="1">IF(Config!A5="","",IFERROR(COUNTIF(INDIRECT("'"&amp;Config!A5&amp;"'!B2:B1000"),"Not Started"),0))</f>
        <v>19</v>
      </c>
      <c r="G17" s="14">
        <f ca="1">IF(Config!A5="","",IFERROR(COUNTIF(INDIRECT("'"&amp;Config!A5&amp;"'!B2:B1000"),"Completed")/COUNTA(INDIRECT("'"&amp;Config!A5&amp;"'!B2:B1000")),0))</f>
        <v>0</v>
      </c>
      <c r="R17" t="str">
        <f>IF(Config!A10="","",Config!A10)</f>
        <v/>
      </c>
      <c r="S17" t="str">
        <f>IF(Config!A10="","",F199)</f>
        <v/>
      </c>
    </row>
    <row r="18" spans="1:19" x14ac:dyDescent="0.25">
      <c r="A18" t="str">
        <f>IF(Config!A6="","",Config!A6)</f>
        <v>Retired VM Cleanup</v>
      </c>
      <c r="B18">
        <f ca="1">IF(Config!A6="","",IFERROR(COUNTA(INDIRECT("'"&amp;Config!A6&amp;"'!B2:B1000")),0))</f>
        <v>19</v>
      </c>
      <c r="C18">
        <f ca="1">IF(Config!A6="","",IFERROR(COUNTIF(INDIRECT("'"&amp;Config!A6&amp;"'!B2:B1000"),"Completed"),0))</f>
        <v>0</v>
      </c>
      <c r="D18">
        <f ca="1">IF(Config!A6="","",IFERROR(COUNTIF(INDIRECT("'"&amp;Config!A6&amp;"'!B2:B1000"),"In Progress"),0))</f>
        <v>0</v>
      </c>
      <c r="E18">
        <f ca="1">IF(Config!A6="","",IFERROR(COUNTIF(INDIRECT("'"&amp;Config!A6&amp;"'!B2:B1000"),"Overdue"),0))</f>
        <v>0</v>
      </c>
      <c r="F18">
        <f ca="1">IF(Config!A6="","",IFERROR(COUNTIF(INDIRECT("'"&amp;Config!A6&amp;"'!B2:B1000"),"Not Started"),0))</f>
        <v>19</v>
      </c>
      <c r="G18" s="14">
        <f ca="1">IF(Config!A6="","",IFERROR(COUNTIF(INDIRECT("'"&amp;Config!A6&amp;"'!B2:B1000"),"Completed")/COUNTA(INDIRECT("'"&amp;Config!A6&amp;"'!B2:B1000")),0))</f>
        <v>0</v>
      </c>
      <c r="R18" t="str">
        <f>IF(Config!A11="","",Config!A11)</f>
        <v/>
      </c>
      <c r="S18" t="str">
        <f>IF(Config!A11="","",F200)</f>
        <v/>
      </c>
    </row>
    <row r="19" spans="1:19" x14ac:dyDescent="0.25">
      <c r="A19" t="str">
        <f>IF(Config!A7="","",Config!A7)</f>
        <v>Zerto Scripts</v>
      </c>
      <c r="B19">
        <f ca="1">IF(Config!A7="","",IFERROR(COUNTA(INDIRECT("'"&amp;Config!A7&amp;"'!B2:B1000")),0))</f>
        <v>19</v>
      </c>
      <c r="C19">
        <f ca="1">IF(Config!A7="","",IFERROR(COUNTIF(INDIRECT("'"&amp;Config!A7&amp;"'!B2:B1000"),"Completed"),0))</f>
        <v>0</v>
      </c>
      <c r="D19">
        <f ca="1">IF(Config!A7="","",IFERROR(COUNTIF(INDIRECT("'"&amp;Config!A7&amp;"'!B2:B1000"),"In Progress"),0))</f>
        <v>0</v>
      </c>
      <c r="E19">
        <f ca="1">IF(Config!A7="","",IFERROR(COUNTIF(INDIRECT("'"&amp;Config!A7&amp;"'!B2:B1000"),"Overdue"),0))</f>
        <v>0</v>
      </c>
      <c r="F19">
        <f ca="1">IF(Config!A7="","",IFERROR(COUNTIF(INDIRECT("'"&amp;Config!A7&amp;"'!B2:B1000"),"Not Started"),0))</f>
        <v>19</v>
      </c>
      <c r="G19" s="14">
        <f ca="1">IF(Config!A7="","",IFERROR(COUNTIF(INDIRECT("'"&amp;Config!A7&amp;"'!B2:B1000"),"Completed")/COUNTA(INDIRECT("'"&amp;Config!A7&amp;"'!B2:B1000")),0))</f>
        <v>0</v>
      </c>
      <c r="R19" t="str">
        <f>IF(Config!A12="","",Config!A12)</f>
        <v/>
      </c>
      <c r="S19" t="str">
        <f>IF(Config!A12="","",F201)</f>
        <v/>
      </c>
    </row>
    <row r="20" spans="1:19" x14ac:dyDescent="0.25">
      <c r="A20" t="str">
        <f>IF(Config!A8="","",Config!A8)</f>
        <v/>
      </c>
      <c r="B20" t="str">
        <f ca="1">IF(Config!A8="","",IFERROR(COUNTA(INDIRECT("'"&amp;Config!A8&amp;"'!B2:B1000")),0))</f>
        <v/>
      </c>
      <c r="C20" t="str">
        <f ca="1">IF(Config!A8="","",IFERROR(COUNTIF(INDIRECT("'"&amp;Config!A8&amp;"'!B2:B1000"),"Completed"),0))</f>
        <v/>
      </c>
      <c r="D20" t="str">
        <f ca="1">IF(Config!A8="","",IFERROR(COUNTIF(INDIRECT("'"&amp;Config!A8&amp;"'!B2:B1000"),"In Progress"),0))</f>
        <v/>
      </c>
      <c r="E20" t="str">
        <f ca="1">IF(Config!A8="","",IFERROR(COUNTIF(INDIRECT("'"&amp;Config!A8&amp;"'!B2:B1000"),"Overdue"),0))</f>
        <v/>
      </c>
      <c r="F20" t="str">
        <f ca="1">IF(Config!A8="","",IFERROR(COUNTIF(INDIRECT("'"&amp;Config!A8&amp;"'!B2:B1000"),"Not Started"),0))</f>
        <v/>
      </c>
      <c r="G20" s="14" t="str">
        <f ca="1">IF(Config!A8="","",IFERROR(COUNTIF(INDIRECT("'"&amp;Config!A8&amp;"'!B2:B1000"),"Completed")/COUNTA(INDIRECT("'"&amp;Config!A8&amp;"'!B2:B1000")),0))</f>
        <v/>
      </c>
      <c r="R20" t="str">
        <f>IF(Config!A13="","",Config!A13)</f>
        <v/>
      </c>
      <c r="S20" t="str">
        <f>IF(Config!A13="","",F202)</f>
        <v/>
      </c>
    </row>
    <row r="21" spans="1:19" x14ac:dyDescent="0.25">
      <c r="A21" t="str">
        <f>IF(Config!A9="","",Config!A9)</f>
        <v/>
      </c>
      <c r="B21" t="str">
        <f ca="1">IF(Config!A9="","",IFERROR(COUNTA(INDIRECT("'"&amp;Config!A9&amp;"'!B2:B1000")),0))</f>
        <v/>
      </c>
      <c r="C21" t="str">
        <f ca="1">IF(Config!A9="","",IFERROR(COUNTIF(INDIRECT("'"&amp;Config!A9&amp;"'!B2:B1000"),"Completed"),0))</f>
        <v/>
      </c>
      <c r="D21" t="str">
        <f ca="1">IF(Config!A9="","",IFERROR(COUNTIF(INDIRECT("'"&amp;Config!A9&amp;"'!B2:B1000"),"In Progress"),0))</f>
        <v/>
      </c>
      <c r="E21" t="str">
        <f ca="1">IF(Config!A9="","",IFERROR(COUNTIF(INDIRECT("'"&amp;Config!A9&amp;"'!B2:B1000"),"Overdue"),0))</f>
        <v/>
      </c>
      <c r="F21" t="str">
        <f ca="1">IF(Config!A9="","",IFERROR(COUNTIF(INDIRECT("'"&amp;Config!A9&amp;"'!B2:B1000"),"Not Started"),0))</f>
        <v/>
      </c>
      <c r="G21" s="14" t="str">
        <f ca="1">IF(Config!A9="","",IFERROR(COUNTIF(INDIRECT("'"&amp;Config!A9&amp;"'!B2:B1000"),"Completed")/COUNTA(INDIRECT("'"&amp;Config!A9&amp;"'!B2:B1000")),0))</f>
        <v/>
      </c>
      <c r="R21" t="str">
        <f>IF(Config!A14="","",Config!A14)</f>
        <v/>
      </c>
      <c r="S21" t="str">
        <f>IF(Config!A14="","",F203)</f>
        <v/>
      </c>
    </row>
    <row r="22" spans="1:19" x14ac:dyDescent="0.25">
      <c r="A22" t="str">
        <f>IF(Config!A10="","",Config!A10)</f>
        <v/>
      </c>
      <c r="B22" t="str">
        <f ca="1">IF(Config!A10="","",IFERROR(COUNTA(INDIRECT("'"&amp;Config!A10&amp;"'!B2:B1000")),0))</f>
        <v/>
      </c>
      <c r="C22" t="str">
        <f ca="1">IF(Config!A10="","",IFERROR(COUNTIF(INDIRECT("'"&amp;Config!A10&amp;"'!B2:B1000"),"Completed"),0))</f>
        <v/>
      </c>
      <c r="D22" t="str">
        <f ca="1">IF(Config!A10="","",IFERROR(COUNTIF(INDIRECT("'"&amp;Config!A10&amp;"'!B2:B1000"),"In Progress"),0))</f>
        <v/>
      </c>
      <c r="E22" t="str">
        <f ca="1">IF(Config!A10="","",IFERROR(COUNTIF(INDIRECT("'"&amp;Config!A10&amp;"'!B2:B1000"),"Overdue"),0))</f>
        <v/>
      </c>
      <c r="F22" t="str">
        <f ca="1">IF(Config!A10="","",IFERROR(COUNTIF(INDIRECT("'"&amp;Config!A10&amp;"'!B2:B1000"),"Not Started"),0))</f>
        <v/>
      </c>
      <c r="G22" s="14" t="str">
        <f ca="1">IF(Config!A10="","",IFERROR(COUNTIF(INDIRECT("'"&amp;Config!A10&amp;"'!B2:B1000"),"Completed")/COUNTA(INDIRECT("'"&amp;Config!A10&amp;"'!B2:B1000")),0))</f>
        <v/>
      </c>
      <c r="R22" t="str">
        <f>IF(Config!A15="","",Config!A15)</f>
        <v/>
      </c>
      <c r="S22" t="str">
        <f>IF(Config!A15="","",F204)</f>
        <v/>
      </c>
    </row>
    <row r="23" spans="1:19" x14ac:dyDescent="0.25">
      <c r="A23" t="str">
        <f>IF(Config!A11="","",Config!A11)</f>
        <v/>
      </c>
      <c r="B23" t="str">
        <f ca="1">IF(Config!A11="","",IFERROR(COUNTA(INDIRECT("'"&amp;Config!A11&amp;"'!B2:B1000")),0))</f>
        <v/>
      </c>
      <c r="C23" t="str">
        <f ca="1">IF(Config!A11="","",IFERROR(COUNTIF(INDIRECT("'"&amp;Config!A11&amp;"'!B2:B1000"),"Completed"),0))</f>
        <v/>
      </c>
      <c r="D23" t="str">
        <f ca="1">IF(Config!A11="","",IFERROR(COUNTIF(INDIRECT("'"&amp;Config!A11&amp;"'!B2:B1000"),"In Progress"),0))</f>
        <v/>
      </c>
      <c r="E23" t="str">
        <f ca="1">IF(Config!A11="","",IFERROR(COUNTIF(INDIRECT("'"&amp;Config!A11&amp;"'!B2:B1000"),"Overdue"),0))</f>
        <v/>
      </c>
      <c r="F23" t="str">
        <f ca="1">IF(Config!A11="","",IFERROR(COUNTIF(INDIRECT("'"&amp;Config!A11&amp;"'!B2:B1000"),"Not Started"),0))</f>
        <v/>
      </c>
      <c r="G23" s="14" t="str">
        <f ca="1">IF(Config!A11="","",IFERROR(COUNTIF(INDIRECT("'"&amp;Config!A11&amp;"'!B2:B1000"),"Completed")/COUNTA(INDIRECT("'"&amp;Config!A11&amp;"'!B2:B1000")),0))</f>
        <v/>
      </c>
      <c r="R23" t="str">
        <f>IF(Config!A16="","",Config!A16)</f>
        <v/>
      </c>
      <c r="S23" t="str">
        <f>IF(Config!A16="","",F205)</f>
        <v/>
      </c>
    </row>
    <row r="24" spans="1:19" x14ac:dyDescent="0.25">
      <c r="A24" t="str">
        <f>IF(Config!A12="","",Config!A12)</f>
        <v/>
      </c>
      <c r="B24" t="str">
        <f ca="1">IF(Config!A12="","",IFERROR(COUNTA(INDIRECT("'"&amp;Config!A12&amp;"'!B2:B1000")),0))</f>
        <v/>
      </c>
      <c r="C24" t="str">
        <f ca="1">IF(Config!A12="","",IFERROR(COUNTIF(INDIRECT("'"&amp;Config!A12&amp;"'!B2:B1000"),"Completed"),0))</f>
        <v/>
      </c>
      <c r="D24" t="str">
        <f ca="1">IF(Config!A12="","",IFERROR(COUNTIF(INDIRECT("'"&amp;Config!A12&amp;"'!B2:B1000"),"In Progress"),0))</f>
        <v/>
      </c>
      <c r="E24" t="str">
        <f ca="1">IF(Config!A12="","",IFERROR(COUNTIF(INDIRECT("'"&amp;Config!A12&amp;"'!B2:B1000"),"Overdue"),0))</f>
        <v/>
      </c>
      <c r="F24" t="str">
        <f ca="1">IF(Config!A12="","",IFERROR(COUNTIF(INDIRECT("'"&amp;Config!A12&amp;"'!B2:B1000"),"Not Started"),0))</f>
        <v/>
      </c>
      <c r="G24" s="14" t="str">
        <f ca="1">IF(Config!A12="","",IFERROR(COUNTIF(INDIRECT("'"&amp;Config!A12&amp;"'!B2:B1000"),"Completed")/COUNTA(INDIRECT("'"&amp;Config!A12&amp;"'!B2:B1000")),0))</f>
        <v/>
      </c>
      <c r="R24" t="str">
        <f>IF(Config!A17="","",Config!A17)</f>
        <v/>
      </c>
      <c r="S24" t="str">
        <f>IF(Config!A17="","",F206)</f>
        <v/>
      </c>
    </row>
    <row r="25" spans="1:19" x14ac:dyDescent="0.25">
      <c r="A25" t="str">
        <f>IF(Config!A13="","",Config!A13)</f>
        <v/>
      </c>
      <c r="B25" t="str">
        <f ca="1">IF(Config!A13="","",IFERROR(COUNTA(INDIRECT("'"&amp;Config!A13&amp;"'!B2:B1000")),0))</f>
        <v/>
      </c>
      <c r="C25" t="str">
        <f ca="1">IF(Config!A13="","",IFERROR(COUNTIF(INDIRECT("'"&amp;Config!A13&amp;"'!B2:B1000"),"Completed"),0))</f>
        <v/>
      </c>
      <c r="D25" t="str">
        <f ca="1">IF(Config!A13="","",IFERROR(COUNTIF(INDIRECT("'"&amp;Config!A13&amp;"'!B2:B1000"),"In Progress"),0))</f>
        <v/>
      </c>
      <c r="E25" t="str">
        <f ca="1">IF(Config!A13="","",IFERROR(COUNTIF(INDIRECT("'"&amp;Config!A13&amp;"'!B2:B1000"),"Overdue"),0))</f>
        <v/>
      </c>
      <c r="F25" t="str">
        <f ca="1">IF(Config!A13="","",IFERROR(COUNTIF(INDIRECT("'"&amp;Config!A13&amp;"'!B2:B1000"),"Not Started"),0))</f>
        <v/>
      </c>
      <c r="G25" s="14" t="str">
        <f ca="1">IF(Config!A13="","",IFERROR(COUNTIF(INDIRECT("'"&amp;Config!A13&amp;"'!B2:B1000"),"Completed")/COUNTA(INDIRECT("'"&amp;Config!A13&amp;"'!B2:B1000")),0))</f>
        <v/>
      </c>
      <c r="R25" t="str">
        <f>IF(Config!A18="","",Config!A18)</f>
        <v/>
      </c>
      <c r="S25" t="str">
        <f>IF(Config!A18="","",F207)</f>
        <v/>
      </c>
    </row>
    <row r="26" spans="1:19" x14ac:dyDescent="0.25">
      <c r="A26" t="str">
        <f>IF(Config!A14="","",Config!A14)</f>
        <v/>
      </c>
      <c r="B26" t="str">
        <f ca="1">IF(Config!A14="","",IFERROR(COUNTA(INDIRECT("'"&amp;Config!A14&amp;"'!B2:B1000")),0))</f>
        <v/>
      </c>
      <c r="C26" t="str">
        <f ca="1">IF(Config!A14="","",IFERROR(COUNTIF(INDIRECT("'"&amp;Config!A14&amp;"'!B2:B1000"),"Completed"),0))</f>
        <v/>
      </c>
      <c r="D26" t="str">
        <f ca="1">IF(Config!A14="","",IFERROR(COUNTIF(INDIRECT("'"&amp;Config!A14&amp;"'!B2:B1000"),"In Progress"),0))</f>
        <v/>
      </c>
      <c r="E26" t="str">
        <f ca="1">IF(Config!A14="","",IFERROR(COUNTIF(INDIRECT("'"&amp;Config!A14&amp;"'!B2:B1000"),"Overdue"),0))</f>
        <v/>
      </c>
      <c r="F26" t="str">
        <f ca="1">IF(Config!A14="","",IFERROR(COUNTIF(INDIRECT("'"&amp;Config!A14&amp;"'!B2:B1000"),"Not Started"),0))</f>
        <v/>
      </c>
      <c r="G26" s="14" t="str">
        <f ca="1">IF(Config!A14="","",IFERROR(COUNTIF(INDIRECT("'"&amp;Config!A14&amp;"'!B2:B1000"),"Completed")/COUNTA(INDIRECT("'"&amp;Config!A14&amp;"'!B2:B1000")),0))</f>
        <v/>
      </c>
      <c r="R26" t="str">
        <f>IF(Config!A19="","",Config!A19)</f>
        <v/>
      </c>
      <c r="S26" t="str">
        <f>IF(Config!A19="","",F208)</f>
        <v/>
      </c>
    </row>
    <row r="27" spans="1:19" x14ac:dyDescent="0.25">
      <c r="A27" t="str">
        <f>IF(Config!A15="","",Config!A15)</f>
        <v/>
      </c>
      <c r="B27" t="str">
        <f ca="1">IF(Config!A15="","",IFERROR(COUNTA(INDIRECT("'"&amp;Config!A15&amp;"'!B2:B1000")),0))</f>
        <v/>
      </c>
      <c r="C27" t="str">
        <f ca="1">IF(Config!A15="","",IFERROR(COUNTIF(INDIRECT("'"&amp;Config!A15&amp;"'!B2:B1000"),"Completed"),0))</f>
        <v/>
      </c>
      <c r="D27" t="str">
        <f ca="1">IF(Config!A15="","",IFERROR(COUNTIF(INDIRECT("'"&amp;Config!A15&amp;"'!B2:B1000"),"In Progress"),0))</f>
        <v/>
      </c>
      <c r="E27" t="str">
        <f ca="1">IF(Config!A15="","",IFERROR(COUNTIF(INDIRECT("'"&amp;Config!A15&amp;"'!B2:B1000"),"Overdue"),0))</f>
        <v/>
      </c>
      <c r="F27" t="str">
        <f ca="1">IF(Config!A15="","",IFERROR(COUNTIF(INDIRECT("'"&amp;Config!A15&amp;"'!B2:B1000"),"Not Started"),0))</f>
        <v/>
      </c>
      <c r="G27" s="14" t="str">
        <f ca="1">IF(Config!A15="","",IFERROR(COUNTIF(INDIRECT("'"&amp;Config!A15&amp;"'!B2:B1000"),"Completed")/COUNTA(INDIRECT("'"&amp;Config!A15&amp;"'!B2:B1000")),0))</f>
        <v/>
      </c>
      <c r="R27" t="str">
        <f>IF(Config!A20="","",Config!A20)</f>
        <v/>
      </c>
      <c r="S27" t="str">
        <f>IF(Config!A20="","",F209)</f>
        <v/>
      </c>
    </row>
    <row r="28" spans="1:19" x14ac:dyDescent="0.25">
      <c r="A28" t="str">
        <f>IF(Config!A16="","",Config!A16)</f>
        <v/>
      </c>
      <c r="B28" t="str">
        <f ca="1">IF(Config!A16="","",IFERROR(COUNTA(INDIRECT("'"&amp;Config!A16&amp;"'!B2:B1000")),0))</f>
        <v/>
      </c>
      <c r="C28" t="str">
        <f ca="1">IF(Config!A16="","",IFERROR(COUNTIF(INDIRECT("'"&amp;Config!A16&amp;"'!B2:B1000"),"Completed"),0))</f>
        <v/>
      </c>
      <c r="D28" t="str">
        <f ca="1">IF(Config!A16="","",IFERROR(COUNTIF(INDIRECT("'"&amp;Config!A16&amp;"'!B2:B1000"),"In Progress"),0))</f>
        <v/>
      </c>
      <c r="E28" t="str">
        <f ca="1">IF(Config!A16="","",IFERROR(COUNTIF(INDIRECT("'"&amp;Config!A16&amp;"'!B2:B1000"),"Overdue"),0))</f>
        <v/>
      </c>
      <c r="F28" t="str">
        <f ca="1">IF(Config!A16="","",IFERROR(COUNTIF(INDIRECT("'"&amp;Config!A16&amp;"'!B2:B1000"),"Not Started"),0))</f>
        <v/>
      </c>
      <c r="G28" s="14" t="str">
        <f ca="1">IF(Config!A16="","",IFERROR(COUNTIF(INDIRECT("'"&amp;Config!A16&amp;"'!B2:B1000"),"Completed")/COUNTA(INDIRECT("'"&amp;Config!A16&amp;"'!B2:B1000")),0))</f>
        <v/>
      </c>
      <c r="R28" t="str">
        <f>IF(Config!A21="","",Config!A21)</f>
        <v/>
      </c>
      <c r="S28" t="str">
        <f>IF(Config!A21="","",F210)</f>
        <v/>
      </c>
    </row>
    <row r="29" spans="1:19" x14ac:dyDescent="0.25">
      <c r="A29" t="str">
        <f>IF(Config!A17="","",Config!A17)</f>
        <v/>
      </c>
      <c r="B29" t="str">
        <f ca="1">IF(Config!A17="","",IFERROR(COUNTA(INDIRECT("'"&amp;Config!A17&amp;"'!B2:B1000")),0))</f>
        <v/>
      </c>
      <c r="C29" t="str">
        <f ca="1">IF(Config!A17="","",IFERROR(COUNTIF(INDIRECT("'"&amp;Config!A17&amp;"'!B2:B1000"),"Completed"),0))</f>
        <v/>
      </c>
      <c r="D29" t="str">
        <f ca="1">IF(Config!A17="","",IFERROR(COUNTIF(INDIRECT("'"&amp;Config!A17&amp;"'!B2:B1000"),"In Progress"),0))</f>
        <v/>
      </c>
      <c r="E29" t="str">
        <f ca="1">IF(Config!A17="","",IFERROR(COUNTIF(INDIRECT("'"&amp;Config!A17&amp;"'!B2:B1000"),"Overdue"),0))</f>
        <v/>
      </c>
      <c r="F29" t="str">
        <f ca="1">IF(Config!A17="","",IFERROR(COUNTIF(INDIRECT("'"&amp;Config!A17&amp;"'!B2:B1000"),"Not Started"),0))</f>
        <v/>
      </c>
      <c r="G29" s="14" t="str">
        <f ca="1">IF(Config!A17="","",IFERROR(COUNTIF(INDIRECT("'"&amp;Config!A17&amp;"'!B2:B1000"),"Completed")/COUNTA(INDIRECT("'"&amp;Config!A17&amp;"'!B2:B1000")),0))</f>
        <v/>
      </c>
      <c r="R29" t="str">
        <f>IF(Config!A22="","",Config!A22)</f>
        <v/>
      </c>
      <c r="S29" t="str">
        <f>IF(Config!A22="","",F211)</f>
        <v/>
      </c>
    </row>
    <row r="30" spans="1:19" x14ac:dyDescent="0.25">
      <c r="A30" t="str">
        <f>IF(Config!A18="","",Config!A18)</f>
        <v/>
      </c>
      <c r="B30" t="str">
        <f ca="1">IF(Config!A18="","",IFERROR(COUNTA(INDIRECT("'"&amp;Config!A18&amp;"'!B2:B1000")),0))</f>
        <v/>
      </c>
      <c r="C30" t="str">
        <f ca="1">IF(Config!A18="","",IFERROR(COUNTIF(INDIRECT("'"&amp;Config!A18&amp;"'!B2:B1000"),"Completed"),0))</f>
        <v/>
      </c>
      <c r="D30" t="str">
        <f ca="1">IF(Config!A18="","",IFERROR(COUNTIF(INDIRECT("'"&amp;Config!A18&amp;"'!B2:B1000"),"In Progress"),0))</f>
        <v/>
      </c>
      <c r="E30" t="str">
        <f ca="1">IF(Config!A18="","",IFERROR(COUNTIF(INDIRECT("'"&amp;Config!A18&amp;"'!B2:B1000"),"Overdue"),0))</f>
        <v/>
      </c>
      <c r="F30" t="str">
        <f ca="1">IF(Config!A18="","",IFERROR(COUNTIF(INDIRECT("'"&amp;Config!A18&amp;"'!B2:B1000"),"Not Started"),0))</f>
        <v/>
      </c>
      <c r="G30" s="14" t="str">
        <f ca="1">IF(Config!A18="","",IFERROR(COUNTIF(INDIRECT("'"&amp;Config!A18&amp;"'!B2:B1000"),"Completed")/COUNTA(INDIRECT("'"&amp;Config!A18&amp;"'!B2:B1000")),0))</f>
        <v/>
      </c>
      <c r="R30" t="str">
        <f>IF(Config!A23="","",Config!A23)</f>
        <v/>
      </c>
      <c r="S30" t="str">
        <f>IF(Config!A23="","",F212)</f>
        <v/>
      </c>
    </row>
    <row r="31" spans="1:19" x14ac:dyDescent="0.25">
      <c r="A31" t="str">
        <f>IF(Config!A19="","",Config!A19)</f>
        <v/>
      </c>
      <c r="B31" t="str">
        <f ca="1">IF(Config!A19="","",IFERROR(COUNTA(INDIRECT("'"&amp;Config!A19&amp;"'!B2:B1000")),0))</f>
        <v/>
      </c>
      <c r="C31" t="str">
        <f ca="1">IF(Config!A19="","",IFERROR(COUNTIF(INDIRECT("'"&amp;Config!A19&amp;"'!B2:B1000"),"Completed"),0))</f>
        <v/>
      </c>
      <c r="D31" t="str">
        <f ca="1">IF(Config!A19="","",IFERROR(COUNTIF(INDIRECT("'"&amp;Config!A19&amp;"'!B2:B1000"),"In Progress"),0))</f>
        <v/>
      </c>
      <c r="E31" t="str">
        <f ca="1">IF(Config!A19="","",IFERROR(COUNTIF(INDIRECT("'"&amp;Config!A19&amp;"'!B2:B1000"),"Overdue"),0))</f>
        <v/>
      </c>
      <c r="F31" t="str">
        <f ca="1">IF(Config!A19="","",IFERROR(COUNTIF(INDIRECT("'"&amp;Config!A19&amp;"'!B2:B1000"),"Not Started"),0))</f>
        <v/>
      </c>
      <c r="G31" s="14" t="str">
        <f ca="1">IF(Config!A19="","",IFERROR(COUNTIF(INDIRECT("'"&amp;Config!A19&amp;"'!B2:B1000"),"Completed")/COUNTA(INDIRECT("'"&amp;Config!A19&amp;"'!B2:B1000")),0))</f>
        <v/>
      </c>
    </row>
    <row r="32" spans="1:19" x14ac:dyDescent="0.25">
      <c r="A32" t="str">
        <f>IF(Config!A20="","",Config!A20)</f>
        <v/>
      </c>
      <c r="B32" t="str">
        <f ca="1">IF(Config!A20="","",IFERROR(COUNTA(INDIRECT("'"&amp;Config!A20&amp;"'!B2:B1000")),0))</f>
        <v/>
      </c>
      <c r="C32" t="str">
        <f ca="1">IF(Config!A20="","",IFERROR(COUNTIF(INDIRECT("'"&amp;Config!A20&amp;"'!B2:B1000"),"Completed"),0))</f>
        <v/>
      </c>
      <c r="D32" t="str">
        <f ca="1">IF(Config!A20="","",IFERROR(COUNTIF(INDIRECT("'"&amp;Config!A20&amp;"'!B2:B1000"),"In Progress"),0))</f>
        <v/>
      </c>
      <c r="E32" t="str">
        <f ca="1">IF(Config!A20="","",IFERROR(COUNTIF(INDIRECT("'"&amp;Config!A20&amp;"'!B2:B1000"),"Overdue"),0))</f>
        <v/>
      </c>
      <c r="F32" t="str">
        <f ca="1">IF(Config!A20="","",IFERROR(COUNTIF(INDIRECT("'"&amp;Config!A20&amp;"'!B2:B1000"),"Not Started"),0))</f>
        <v/>
      </c>
      <c r="G32" s="14" t="str">
        <f ca="1">IF(Config!A20="","",IFERROR(COUNTIF(INDIRECT("'"&amp;Config!A20&amp;"'!B2:B1000"),"Completed")/COUNTA(INDIRECT("'"&amp;Config!A20&amp;"'!B2:B1000")),0))</f>
        <v/>
      </c>
    </row>
    <row r="33" spans="1:7" x14ac:dyDescent="0.25">
      <c r="A33" t="str">
        <f>IF(Config!A21="","",Config!A21)</f>
        <v/>
      </c>
      <c r="B33" t="str">
        <f ca="1">IF(Config!A21="","",IFERROR(COUNTA(INDIRECT("'"&amp;Config!A21&amp;"'!B2:B1000")),0))</f>
        <v/>
      </c>
      <c r="C33" t="str">
        <f ca="1">IF(Config!A21="","",IFERROR(COUNTIF(INDIRECT("'"&amp;Config!A21&amp;"'!B2:B1000"),"Completed"),0))</f>
        <v/>
      </c>
      <c r="D33" t="str">
        <f ca="1">IF(Config!A21="","",IFERROR(COUNTIF(INDIRECT("'"&amp;Config!A21&amp;"'!B2:B1000"),"In Progress"),0))</f>
        <v/>
      </c>
      <c r="E33" t="str">
        <f ca="1">IF(Config!A21="","",IFERROR(COUNTIF(INDIRECT("'"&amp;Config!A21&amp;"'!B2:B1000"),"Overdue"),0))</f>
        <v/>
      </c>
      <c r="F33" t="str">
        <f ca="1">IF(Config!A21="","",IFERROR(COUNTIF(INDIRECT("'"&amp;Config!A21&amp;"'!B2:B1000"),"Not Started"),0))</f>
        <v/>
      </c>
      <c r="G33" s="14" t="str">
        <f ca="1">IF(Config!A21="","",IFERROR(COUNTIF(INDIRECT("'"&amp;Config!A21&amp;"'!B2:B1000"),"Completed")/COUNTA(INDIRECT("'"&amp;Config!A21&amp;"'!B2:B1000")),0))</f>
        <v/>
      </c>
    </row>
    <row r="34" spans="1:7" x14ac:dyDescent="0.25">
      <c r="A34" t="str">
        <f>IF(Config!A22="","",Config!A22)</f>
        <v/>
      </c>
      <c r="B34" t="str">
        <f ca="1">IF(Config!A22="","",IFERROR(COUNTA(INDIRECT("'"&amp;Config!A22&amp;"'!B2:B1000")),0))</f>
        <v/>
      </c>
      <c r="C34" t="str">
        <f ca="1">IF(Config!A22="","",IFERROR(COUNTIF(INDIRECT("'"&amp;Config!A22&amp;"'!B2:B1000"),"Completed"),0))</f>
        <v/>
      </c>
      <c r="D34" t="str">
        <f ca="1">IF(Config!A22="","",IFERROR(COUNTIF(INDIRECT("'"&amp;Config!A22&amp;"'!B2:B1000"),"In Progress"),0))</f>
        <v/>
      </c>
      <c r="E34" t="str">
        <f ca="1">IF(Config!A22="","",IFERROR(COUNTIF(INDIRECT("'"&amp;Config!A22&amp;"'!B2:B1000"),"Overdue"),0))</f>
        <v/>
      </c>
      <c r="F34" t="str">
        <f ca="1">IF(Config!A22="","",IFERROR(COUNTIF(INDIRECT("'"&amp;Config!A22&amp;"'!B2:B1000"),"Not Started"),0))</f>
        <v/>
      </c>
      <c r="G34" s="14" t="str">
        <f ca="1">IF(Config!A22="","",IFERROR(COUNTIF(INDIRECT("'"&amp;Config!A22&amp;"'!B2:B1000"),"Completed")/COUNTA(INDIRECT("'"&amp;Config!A22&amp;"'!B2:B1000")),0))</f>
        <v/>
      </c>
    </row>
    <row r="35" spans="1:7" x14ac:dyDescent="0.25">
      <c r="A35" t="str">
        <f>IF(Config!A23="","",Config!A23)</f>
        <v/>
      </c>
      <c r="B35" t="str">
        <f ca="1">IF(Config!A23="","",IFERROR(COUNTA(INDIRECT("'"&amp;Config!A23&amp;"'!B2:B1000")),0))</f>
        <v/>
      </c>
      <c r="C35" t="str">
        <f ca="1">IF(Config!A23="","",IFERROR(COUNTIF(INDIRECT("'"&amp;Config!A23&amp;"'!B2:B1000"),"Completed"),0))</f>
        <v/>
      </c>
      <c r="D35" t="str">
        <f ca="1">IF(Config!A23="","",IFERROR(COUNTIF(INDIRECT("'"&amp;Config!A23&amp;"'!B2:B1000"),"In Progress"),0))</f>
        <v/>
      </c>
      <c r="E35" t="str">
        <f ca="1">IF(Config!A23="","",IFERROR(COUNTIF(INDIRECT("'"&amp;Config!A23&amp;"'!B2:B1000"),"Overdue"),0))</f>
        <v/>
      </c>
      <c r="F35" t="str">
        <f ca="1">IF(Config!A23="","",IFERROR(COUNTIF(INDIRECT("'"&amp;Config!A23&amp;"'!B2:B1000"),"Not Started"),0))</f>
        <v/>
      </c>
      <c r="G35" s="14" t="str">
        <f ca="1">IF(Config!A23="","",IFERROR(COUNTIF(INDIRECT("'"&amp;Config!A23&amp;"'!B2:B1000"),"Completed")/COUNTA(INDIRECT("'"&amp;Config!A23&amp;"'!B2:B1000")),0))</f>
        <v/>
      </c>
    </row>
    <row r="36" spans="1:7" x14ac:dyDescent="0.25">
      <c r="A36" s="7" t="s">
        <v>77</v>
      </c>
      <c r="B36">
        <f ca="1">SUM(B16:B35)</f>
        <v>76</v>
      </c>
      <c r="C36">
        <f ca="1">SUM(C16:C35)</f>
        <v>0</v>
      </c>
      <c r="D36">
        <f ca="1">SUM(D16:D35)</f>
        <v>0</v>
      </c>
      <c r="E36">
        <f ca="1">SUM(E16:E35)</f>
        <v>1</v>
      </c>
      <c r="F36">
        <f ca="1">SUM(F16:F35)</f>
        <v>75</v>
      </c>
      <c r="G36" s="14">
        <f ca="1">IFERROR(C36/B36,0)</f>
        <v>0</v>
      </c>
    </row>
    <row r="38" spans="1:7" x14ac:dyDescent="0.25">
      <c r="A38" s="13" t="s">
        <v>78</v>
      </c>
      <c r="B38" s="8"/>
      <c r="C38" s="8"/>
      <c r="D38" s="8"/>
      <c r="E38" s="8"/>
      <c r="F38" s="8"/>
    </row>
    <row r="39" spans="1:7" x14ac:dyDescent="0.25">
      <c r="A39" s="7" t="s">
        <v>79</v>
      </c>
      <c r="B39" s="7" t="s">
        <v>80</v>
      </c>
      <c r="C39" s="7" t="s">
        <v>54</v>
      </c>
      <c r="D39" s="7" t="s">
        <v>81</v>
      </c>
      <c r="E39" s="7" t="s">
        <v>55</v>
      </c>
      <c r="F39" s="7" t="s">
        <v>82</v>
      </c>
    </row>
    <row r="40" spans="1:7" x14ac:dyDescent="0.25">
      <c r="A40" t="str">
        <f>IF(Config!A4="","",Config!A4)</f>
        <v>ODC Cleanup</v>
      </c>
      <c r="B40">
        <f ca="1">IF(Config!A4="","",IFERROR(COUNTIF(INDIRECT("'"&amp;Config!A4&amp;"'!L2:L1000"),"Must"),0))</f>
        <v>0</v>
      </c>
      <c r="C40">
        <f ca="1">IF(Config!A4="","",IFERROR(COUNTIF(INDIRECT("'"&amp;Config!A4&amp;"'!L2:L1000"),"Should"),0))</f>
        <v>1</v>
      </c>
      <c r="D40">
        <f ca="1">IF(Config!A4="","",IFERROR(COUNTIF(INDIRECT("'"&amp;Config!A4&amp;"'!L2:L1000"),"Could"),0))</f>
        <v>0</v>
      </c>
      <c r="E40">
        <f ca="1">IF(Config!A4="","",IFERROR(COUNTIF(INDIRECT("'"&amp;Config!A4&amp;"'!L2:L1000"),"Wont"),0))</f>
        <v>1</v>
      </c>
      <c r="F40">
        <f ca="1">IF(Config!A4="","",IFERROR(COUNTIF(INDIRECT("'"&amp;Config!A4&amp;"'!L2:L1000"),"Want"),0))</f>
        <v>0</v>
      </c>
    </row>
    <row r="41" spans="1:7" x14ac:dyDescent="0.25">
      <c r="A41" t="str">
        <f>IF(Config!A5="","",Config!A5)</f>
        <v>Datastore Reclamation</v>
      </c>
      <c r="B41">
        <f ca="1">IF(Config!A5="","",IFERROR(COUNTIF(INDIRECT("'"&amp;Config!A5&amp;"'!L2:L1000"),"Must"),0))</f>
        <v>0</v>
      </c>
      <c r="C41">
        <f ca="1">IF(Config!A5="","",IFERROR(COUNTIF(INDIRECT("'"&amp;Config!A5&amp;"'!L2:L1000"),"Should"),0))</f>
        <v>2</v>
      </c>
      <c r="D41">
        <f ca="1">IF(Config!A5="","",IFERROR(COUNTIF(INDIRECT("'"&amp;Config!A5&amp;"'!L2:L1000"),"Could"),0))</f>
        <v>0</v>
      </c>
      <c r="E41">
        <f ca="1">IF(Config!A5="","",IFERROR(COUNTIF(INDIRECT("'"&amp;Config!A5&amp;"'!L2:L1000"),"Wont"),0))</f>
        <v>1</v>
      </c>
      <c r="F41">
        <f ca="1">IF(Config!A5="","",IFERROR(COUNTIF(INDIRECT("'"&amp;Config!A5&amp;"'!L2:L1000"),"Want"),0))</f>
        <v>1</v>
      </c>
    </row>
    <row r="42" spans="1:7" x14ac:dyDescent="0.25">
      <c r="A42" t="str">
        <f>IF(Config!A6="","",Config!A6)</f>
        <v>Retired VM Cleanup</v>
      </c>
      <c r="B42">
        <f ca="1">IF(Config!A6="","",IFERROR(COUNTIF(INDIRECT("'"&amp;Config!A6&amp;"'!L2:L1000"),"Must"),0))</f>
        <v>0</v>
      </c>
      <c r="C42">
        <f ca="1">IF(Config!A6="","",IFERROR(COUNTIF(INDIRECT("'"&amp;Config!A6&amp;"'!L2:L1000"),"Should"),0))</f>
        <v>0</v>
      </c>
      <c r="D42">
        <f ca="1">IF(Config!A6="","",IFERROR(COUNTIF(INDIRECT("'"&amp;Config!A6&amp;"'!L2:L1000"),"Could"),0))</f>
        <v>0</v>
      </c>
      <c r="E42">
        <f ca="1">IF(Config!A6="","",IFERROR(COUNTIF(INDIRECT("'"&amp;Config!A6&amp;"'!L2:L1000"),"Wont"),0))</f>
        <v>0</v>
      </c>
      <c r="F42">
        <f ca="1">IF(Config!A6="","",IFERROR(COUNTIF(INDIRECT("'"&amp;Config!A6&amp;"'!L2:L1000"),"Want"),0))</f>
        <v>0</v>
      </c>
    </row>
    <row r="43" spans="1:7" x14ac:dyDescent="0.25">
      <c r="A43" t="str">
        <f>IF(Config!A7="","",Config!A7)</f>
        <v>Zerto Scripts</v>
      </c>
      <c r="B43">
        <f ca="1">IF(Config!A7="","",IFERROR(COUNTIF(INDIRECT("'"&amp;Config!A7&amp;"'!L2:L1000"),"Must"),0))</f>
        <v>0</v>
      </c>
      <c r="C43">
        <f ca="1">IF(Config!A7="","",IFERROR(COUNTIF(INDIRECT("'"&amp;Config!A7&amp;"'!L2:L1000"),"Should"),0))</f>
        <v>0</v>
      </c>
      <c r="D43">
        <f ca="1">IF(Config!A7="","",IFERROR(COUNTIF(INDIRECT("'"&amp;Config!A7&amp;"'!L2:L1000"),"Could"),0))</f>
        <v>0</v>
      </c>
      <c r="E43">
        <f ca="1">IF(Config!A7="","",IFERROR(COUNTIF(INDIRECT("'"&amp;Config!A7&amp;"'!L2:L1000"),"Wont"),0))</f>
        <v>0</v>
      </c>
      <c r="F43">
        <f ca="1">IF(Config!A7="","",IFERROR(COUNTIF(INDIRECT("'"&amp;Config!A7&amp;"'!L2:L1000"),"Want"),0))</f>
        <v>0</v>
      </c>
    </row>
    <row r="44" spans="1:7" x14ac:dyDescent="0.25">
      <c r="A44" t="str">
        <f>IF(Config!A8="","",Config!A8)</f>
        <v/>
      </c>
      <c r="B44" t="str">
        <f ca="1">IF(Config!A8="","",IFERROR(COUNTIF(INDIRECT("'"&amp;Config!A8&amp;"'!L2:L1000"),"Must"),0))</f>
        <v/>
      </c>
      <c r="C44" t="str">
        <f ca="1">IF(Config!A8="","",IFERROR(COUNTIF(INDIRECT("'"&amp;Config!A8&amp;"'!L2:L1000"),"Should"),0))</f>
        <v/>
      </c>
      <c r="D44" t="str">
        <f ca="1">IF(Config!A8="","",IFERROR(COUNTIF(INDIRECT("'"&amp;Config!A8&amp;"'!L2:L1000"),"Could"),0))</f>
        <v/>
      </c>
      <c r="E44" t="str">
        <f ca="1">IF(Config!A8="","",IFERROR(COUNTIF(INDIRECT("'"&amp;Config!A8&amp;"'!L2:L1000"),"Wont"),0))</f>
        <v/>
      </c>
      <c r="F44" t="str">
        <f ca="1">IF(Config!A8="","",IFERROR(COUNTIF(INDIRECT("'"&amp;Config!A8&amp;"'!L2:L1000"),"Want"),0))</f>
        <v/>
      </c>
    </row>
    <row r="45" spans="1:7" x14ac:dyDescent="0.25">
      <c r="A45" t="str">
        <f>IF(Config!A9="","",Config!A9)</f>
        <v/>
      </c>
      <c r="B45" t="str">
        <f ca="1">IF(Config!A9="","",IFERROR(COUNTIF(INDIRECT("'"&amp;Config!A9&amp;"'!L2:L1000"),"Must"),0))</f>
        <v/>
      </c>
      <c r="C45" t="str">
        <f ca="1">IF(Config!A9="","",IFERROR(COUNTIF(INDIRECT("'"&amp;Config!A9&amp;"'!L2:L1000"),"Should"),0))</f>
        <v/>
      </c>
      <c r="D45" t="str">
        <f ca="1">IF(Config!A9="","",IFERROR(COUNTIF(INDIRECT("'"&amp;Config!A9&amp;"'!L2:L1000"),"Could"),0))</f>
        <v/>
      </c>
      <c r="E45" t="str">
        <f ca="1">IF(Config!A9="","",IFERROR(COUNTIF(INDIRECT("'"&amp;Config!A9&amp;"'!L2:L1000"),"Wont"),0))</f>
        <v/>
      </c>
      <c r="F45" t="str">
        <f ca="1">IF(Config!A9="","",IFERROR(COUNTIF(INDIRECT("'"&amp;Config!A9&amp;"'!L2:L1000"),"Want"),0))</f>
        <v/>
      </c>
    </row>
    <row r="46" spans="1:7" x14ac:dyDescent="0.25">
      <c r="A46" t="str">
        <f>IF(Config!A10="","",Config!A10)</f>
        <v/>
      </c>
      <c r="B46" t="str">
        <f ca="1">IF(Config!A10="","",IFERROR(COUNTIF(INDIRECT("'"&amp;Config!A10&amp;"'!L2:L1000"),"Must"),0))</f>
        <v/>
      </c>
      <c r="C46" t="str">
        <f ca="1">IF(Config!A10="","",IFERROR(COUNTIF(INDIRECT("'"&amp;Config!A10&amp;"'!L2:L1000"),"Should"),0))</f>
        <v/>
      </c>
      <c r="D46" t="str">
        <f ca="1">IF(Config!A10="","",IFERROR(COUNTIF(INDIRECT("'"&amp;Config!A10&amp;"'!L2:L1000"),"Could"),0))</f>
        <v/>
      </c>
      <c r="E46" t="str">
        <f ca="1">IF(Config!A10="","",IFERROR(COUNTIF(INDIRECT("'"&amp;Config!A10&amp;"'!L2:L1000"),"Wont"),0))</f>
        <v/>
      </c>
      <c r="F46" t="str">
        <f ca="1">IF(Config!A10="","",IFERROR(COUNTIF(INDIRECT("'"&amp;Config!A10&amp;"'!L2:L1000"),"Want"),0))</f>
        <v/>
      </c>
    </row>
    <row r="47" spans="1:7" x14ac:dyDescent="0.25">
      <c r="A47" t="str">
        <f>IF(Config!A11="","",Config!A11)</f>
        <v/>
      </c>
      <c r="B47" t="str">
        <f ca="1">IF(Config!A11="","",IFERROR(COUNTIF(INDIRECT("'"&amp;Config!A11&amp;"'!L2:L1000"),"Must"),0))</f>
        <v/>
      </c>
      <c r="C47" t="str">
        <f ca="1">IF(Config!A11="","",IFERROR(COUNTIF(INDIRECT("'"&amp;Config!A11&amp;"'!L2:L1000"),"Should"),0))</f>
        <v/>
      </c>
      <c r="D47" t="str">
        <f ca="1">IF(Config!A11="","",IFERROR(COUNTIF(INDIRECT("'"&amp;Config!A11&amp;"'!L2:L1000"),"Could"),0))</f>
        <v/>
      </c>
      <c r="E47" t="str">
        <f ca="1">IF(Config!A11="","",IFERROR(COUNTIF(INDIRECT("'"&amp;Config!A11&amp;"'!L2:L1000"),"Wont"),0))</f>
        <v/>
      </c>
      <c r="F47" t="str">
        <f ca="1">IF(Config!A11="","",IFERROR(COUNTIF(INDIRECT("'"&amp;Config!A11&amp;"'!L2:L1000"),"Want"),0))</f>
        <v/>
      </c>
    </row>
    <row r="48" spans="1:7" x14ac:dyDescent="0.25">
      <c r="A48" t="str">
        <f>IF(Config!A12="","",Config!A12)</f>
        <v/>
      </c>
      <c r="B48" t="str">
        <f ca="1">IF(Config!A12="","",IFERROR(COUNTIF(INDIRECT("'"&amp;Config!A12&amp;"'!L2:L1000"),"Must"),0))</f>
        <v/>
      </c>
      <c r="C48" t="str">
        <f ca="1">IF(Config!A12="","",IFERROR(COUNTIF(INDIRECT("'"&amp;Config!A12&amp;"'!L2:L1000"),"Should"),0))</f>
        <v/>
      </c>
      <c r="D48" t="str">
        <f ca="1">IF(Config!A12="","",IFERROR(COUNTIF(INDIRECT("'"&amp;Config!A12&amp;"'!L2:L1000"),"Could"),0))</f>
        <v/>
      </c>
      <c r="E48" t="str">
        <f ca="1">IF(Config!A12="","",IFERROR(COUNTIF(INDIRECT("'"&amp;Config!A12&amp;"'!L2:L1000"),"Wont"),0))</f>
        <v/>
      </c>
      <c r="F48" t="str">
        <f ca="1">IF(Config!A12="","",IFERROR(COUNTIF(INDIRECT("'"&amp;Config!A12&amp;"'!L2:L1000"),"Want"),0))</f>
        <v/>
      </c>
    </row>
    <row r="49" spans="1:6" x14ac:dyDescent="0.25">
      <c r="A49" t="str">
        <f>IF(Config!A13="","",Config!A13)</f>
        <v/>
      </c>
      <c r="B49" t="str">
        <f ca="1">IF(Config!A13="","",IFERROR(COUNTIF(INDIRECT("'"&amp;Config!A13&amp;"'!L2:L1000"),"Must"),0))</f>
        <v/>
      </c>
      <c r="C49" t="str">
        <f ca="1">IF(Config!A13="","",IFERROR(COUNTIF(INDIRECT("'"&amp;Config!A13&amp;"'!L2:L1000"),"Should"),0))</f>
        <v/>
      </c>
      <c r="D49" t="str">
        <f ca="1">IF(Config!A13="","",IFERROR(COUNTIF(INDIRECT("'"&amp;Config!A13&amp;"'!L2:L1000"),"Could"),0))</f>
        <v/>
      </c>
      <c r="E49" t="str">
        <f ca="1">IF(Config!A13="","",IFERROR(COUNTIF(INDIRECT("'"&amp;Config!A13&amp;"'!L2:L1000"),"Wont"),0))</f>
        <v/>
      </c>
      <c r="F49" t="str">
        <f ca="1">IF(Config!A13="","",IFERROR(COUNTIF(INDIRECT("'"&amp;Config!A13&amp;"'!L2:L1000"),"Want"),0))</f>
        <v/>
      </c>
    </row>
    <row r="50" spans="1:6" x14ac:dyDescent="0.25">
      <c r="A50" t="str">
        <f>IF(Config!A14="","",Config!A14)</f>
        <v/>
      </c>
      <c r="B50" t="str">
        <f ca="1">IF(Config!A14="","",IFERROR(COUNTIF(INDIRECT("'"&amp;Config!A14&amp;"'!L2:L1000"),"Must"),0))</f>
        <v/>
      </c>
      <c r="C50" t="str">
        <f ca="1">IF(Config!A14="","",IFERROR(COUNTIF(INDIRECT("'"&amp;Config!A14&amp;"'!L2:L1000"),"Should"),0))</f>
        <v/>
      </c>
      <c r="D50" t="str">
        <f ca="1">IF(Config!A14="","",IFERROR(COUNTIF(INDIRECT("'"&amp;Config!A14&amp;"'!L2:L1000"),"Could"),0))</f>
        <v/>
      </c>
      <c r="E50" t="str">
        <f ca="1">IF(Config!A14="","",IFERROR(COUNTIF(INDIRECT("'"&amp;Config!A14&amp;"'!L2:L1000"),"Wont"),0))</f>
        <v/>
      </c>
      <c r="F50" t="str">
        <f ca="1">IF(Config!A14="","",IFERROR(COUNTIF(INDIRECT("'"&amp;Config!A14&amp;"'!L2:L1000"),"Want"),0))</f>
        <v/>
      </c>
    </row>
    <row r="51" spans="1:6" x14ac:dyDescent="0.25">
      <c r="A51" t="str">
        <f>IF(Config!A15="","",Config!A15)</f>
        <v/>
      </c>
      <c r="B51" t="str">
        <f ca="1">IF(Config!A15="","",IFERROR(COUNTIF(INDIRECT("'"&amp;Config!A15&amp;"'!L2:L1000"),"Must"),0))</f>
        <v/>
      </c>
      <c r="C51" t="str">
        <f ca="1">IF(Config!A15="","",IFERROR(COUNTIF(INDIRECT("'"&amp;Config!A15&amp;"'!L2:L1000"),"Should"),0))</f>
        <v/>
      </c>
      <c r="D51" t="str">
        <f ca="1">IF(Config!A15="","",IFERROR(COUNTIF(INDIRECT("'"&amp;Config!A15&amp;"'!L2:L1000"),"Could"),0))</f>
        <v/>
      </c>
      <c r="E51" t="str">
        <f ca="1">IF(Config!A15="","",IFERROR(COUNTIF(INDIRECT("'"&amp;Config!A15&amp;"'!L2:L1000"),"Wont"),0))</f>
        <v/>
      </c>
      <c r="F51" t="str">
        <f ca="1">IF(Config!A15="","",IFERROR(COUNTIF(INDIRECT("'"&amp;Config!A15&amp;"'!L2:L1000"),"Want"),0))</f>
        <v/>
      </c>
    </row>
    <row r="52" spans="1:6" x14ac:dyDescent="0.25">
      <c r="A52" t="str">
        <f>IF(Config!A16="","",Config!A16)</f>
        <v/>
      </c>
      <c r="B52" t="str">
        <f ca="1">IF(Config!A16="","",IFERROR(COUNTIF(INDIRECT("'"&amp;Config!A16&amp;"'!L2:L1000"),"Must"),0))</f>
        <v/>
      </c>
      <c r="C52" t="str">
        <f ca="1">IF(Config!A16="","",IFERROR(COUNTIF(INDIRECT("'"&amp;Config!A16&amp;"'!L2:L1000"),"Should"),0))</f>
        <v/>
      </c>
      <c r="D52" t="str">
        <f ca="1">IF(Config!A16="","",IFERROR(COUNTIF(INDIRECT("'"&amp;Config!A16&amp;"'!L2:L1000"),"Could"),0))</f>
        <v/>
      </c>
      <c r="E52" t="str">
        <f ca="1">IF(Config!A16="","",IFERROR(COUNTIF(INDIRECT("'"&amp;Config!A16&amp;"'!L2:L1000"),"Wont"),0))</f>
        <v/>
      </c>
      <c r="F52" t="str">
        <f ca="1">IF(Config!A16="","",IFERROR(COUNTIF(INDIRECT("'"&amp;Config!A16&amp;"'!L2:L1000"),"Want"),0))</f>
        <v/>
      </c>
    </row>
    <row r="53" spans="1:6" x14ac:dyDescent="0.25">
      <c r="A53" t="str">
        <f>IF(Config!A17="","",Config!A17)</f>
        <v/>
      </c>
      <c r="B53" t="str">
        <f ca="1">IF(Config!A17="","",IFERROR(COUNTIF(INDIRECT("'"&amp;Config!A17&amp;"'!L2:L1000"),"Must"),0))</f>
        <v/>
      </c>
      <c r="C53" t="str">
        <f ca="1">IF(Config!A17="","",IFERROR(COUNTIF(INDIRECT("'"&amp;Config!A17&amp;"'!L2:L1000"),"Should"),0))</f>
        <v/>
      </c>
      <c r="D53" t="str">
        <f ca="1">IF(Config!A17="","",IFERROR(COUNTIF(INDIRECT("'"&amp;Config!A17&amp;"'!L2:L1000"),"Could"),0))</f>
        <v/>
      </c>
      <c r="E53" t="str">
        <f ca="1">IF(Config!A17="","",IFERROR(COUNTIF(INDIRECT("'"&amp;Config!A17&amp;"'!L2:L1000"),"Wont"),0))</f>
        <v/>
      </c>
      <c r="F53" t="str">
        <f ca="1">IF(Config!A17="","",IFERROR(COUNTIF(INDIRECT("'"&amp;Config!A17&amp;"'!L2:L1000"),"Want"),0))</f>
        <v/>
      </c>
    </row>
    <row r="54" spans="1:6" x14ac:dyDescent="0.25">
      <c r="A54" t="str">
        <f>IF(Config!A18="","",Config!A18)</f>
        <v/>
      </c>
      <c r="B54" t="str">
        <f ca="1">IF(Config!A18="","",IFERROR(COUNTIF(INDIRECT("'"&amp;Config!A18&amp;"'!L2:L1000"),"Must"),0))</f>
        <v/>
      </c>
      <c r="C54" t="str">
        <f ca="1">IF(Config!A18="","",IFERROR(COUNTIF(INDIRECT("'"&amp;Config!A18&amp;"'!L2:L1000"),"Should"),0))</f>
        <v/>
      </c>
      <c r="D54" t="str">
        <f ca="1">IF(Config!A18="","",IFERROR(COUNTIF(INDIRECT("'"&amp;Config!A18&amp;"'!L2:L1000"),"Could"),0))</f>
        <v/>
      </c>
      <c r="E54" t="str">
        <f ca="1">IF(Config!A18="","",IFERROR(COUNTIF(INDIRECT("'"&amp;Config!A18&amp;"'!L2:L1000"),"Wont"),0))</f>
        <v/>
      </c>
      <c r="F54" t="str">
        <f ca="1">IF(Config!A18="","",IFERROR(COUNTIF(INDIRECT("'"&amp;Config!A18&amp;"'!L2:L1000"),"Want"),0))</f>
        <v/>
      </c>
    </row>
    <row r="55" spans="1:6" x14ac:dyDescent="0.25">
      <c r="A55" t="str">
        <f>IF(Config!A19="","",Config!A19)</f>
        <v/>
      </c>
      <c r="B55" t="str">
        <f ca="1">IF(Config!A19="","",IFERROR(COUNTIF(INDIRECT("'"&amp;Config!A19&amp;"'!L2:L1000"),"Must"),0))</f>
        <v/>
      </c>
      <c r="C55" t="str">
        <f ca="1">IF(Config!A19="","",IFERROR(COUNTIF(INDIRECT("'"&amp;Config!A19&amp;"'!L2:L1000"),"Should"),0))</f>
        <v/>
      </c>
      <c r="D55" t="str">
        <f ca="1">IF(Config!A19="","",IFERROR(COUNTIF(INDIRECT("'"&amp;Config!A19&amp;"'!L2:L1000"),"Could"),0))</f>
        <v/>
      </c>
      <c r="E55" t="str">
        <f ca="1">IF(Config!A19="","",IFERROR(COUNTIF(INDIRECT("'"&amp;Config!A19&amp;"'!L2:L1000"),"Wont"),0))</f>
        <v/>
      </c>
      <c r="F55" t="str">
        <f ca="1">IF(Config!A19="","",IFERROR(COUNTIF(INDIRECT("'"&amp;Config!A19&amp;"'!L2:L1000"),"Want"),0))</f>
        <v/>
      </c>
    </row>
    <row r="56" spans="1:6" x14ac:dyDescent="0.25">
      <c r="A56" t="str">
        <f>IF(Config!A20="","",Config!A20)</f>
        <v/>
      </c>
      <c r="B56" t="str">
        <f ca="1">IF(Config!A20="","",IFERROR(COUNTIF(INDIRECT("'"&amp;Config!A20&amp;"'!L2:L1000"),"Must"),0))</f>
        <v/>
      </c>
      <c r="C56" t="str">
        <f ca="1">IF(Config!A20="","",IFERROR(COUNTIF(INDIRECT("'"&amp;Config!A20&amp;"'!L2:L1000"),"Should"),0))</f>
        <v/>
      </c>
      <c r="D56" t="str">
        <f ca="1">IF(Config!A20="","",IFERROR(COUNTIF(INDIRECT("'"&amp;Config!A20&amp;"'!L2:L1000"),"Could"),0))</f>
        <v/>
      </c>
      <c r="E56" t="str">
        <f ca="1">IF(Config!A20="","",IFERROR(COUNTIF(INDIRECT("'"&amp;Config!A20&amp;"'!L2:L1000"),"Wont"),0))</f>
        <v/>
      </c>
      <c r="F56" t="str">
        <f ca="1">IF(Config!A20="","",IFERROR(COUNTIF(INDIRECT("'"&amp;Config!A20&amp;"'!L2:L1000"),"Want"),0))</f>
        <v/>
      </c>
    </row>
    <row r="57" spans="1:6" x14ac:dyDescent="0.25">
      <c r="A57" t="str">
        <f>IF(Config!A21="","",Config!A21)</f>
        <v/>
      </c>
      <c r="B57" t="str">
        <f ca="1">IF(Config!A21="","",IFERROR(COUNTIF(INDIRECT("'"&amp;Config!A21&amp;"'!L2:L1000"),"Must"),0))</f>
        <v/>
      </c>
      <c r="C57" t="str">
        <f ca="1">IF(Config!A21="","",IFERROR(COUNTIF(INDIRECT("'"&amp;Config!A21&amp;"'!L2:L1000"),"Should"),0))</f>
        <v/>
      </c>
      <c r="D57" t="str">
        <f ca="1">IF(Config!A21="","",IFERROR(COUNTIF(INDIRECT("'"&amp;Config!A21&amp;"'!L2:L1000"),"Could"),0))</f>
        <v/>
      </c>
      <c r="E57" t="str">
        <f ca="1">IF(Config!A21="","",IFERROR(COUNTIF(INDIRECT("'"&amp;Config!A21&amp;"'!L2:L1000"),"Wont"),0))</f>
        <v/>
      </c>
      <c r="F57" t="str">
        <f ca="1">IF(Config!A21="","",IFERROR(COUNTIF(INDIRECT("'"&amp;Config!A21&amp;"'!L2:L1000"),"Want"),0))</f>
        <v/>
      </c>
    </row>
    <row r="58" spans="1:6" x14ac:dyDescent="0.25">
      <c r="A58" t="str">
        <f>IF(Config!A22="","",Config!A22)</f>
        <v/>
      </c>
      <c r="B58" t="str">
        <f ca="1">IF(Config!A22="","",IFERROR(COUNTIF(INDIRECT("'"&amp;Config!A22&amp;"'!L2:L1000"),"Must"),0))</f>
        <v/>
      </c>
      <c r="C58" t="str">
        <f ca="1">IF(Config!A22="","",IFERROR(COUNTIF(INDIRECT("'"&amp;Config!A22&amp;"'!L2:L1000"),"Should"),0))</f>
        <v/>
      </c>
      <c r="D58" t="str">
        <f ca="1">IF(Config!A22="","",IFERROR(COUNTIF(INDIRECT("'"&amp;Config!A22&amp;"'!L2:L1000"),"Could"),0))</f>
        <v/>
      </c>
      <c r="E58" t="str">
        <f ca="1">IF(Config!A22="","",IFERROR(COUNTIF(INDIRECT("'"&amp;Config!A22&amp;"'!L2:L1000"),"Wont"),0))</f>
        <v/>
      </c>
      <c r="F58" t="str">
        <f ca="1">IF(Config!A22="","",IFERROR(COUNTIF(INDIRECT("'"&amp;Config!A22&amp;"'!L2:L1000"),"Want"),0))</f>
        <v/>
      </c>
    </row>
    <row r="59" spans="1:6" x14ac:dyDescent="0.25">
      <c r="A59" t="str">
        <f>IF(Config!A23="","",Config!A23)</f>
        <v/>
      </c>
      <c r="B59" t="str">
        <f ca="1">IF(Config!A23="","",IFERROR(COUNTIF(INDIRECT("'"&amp;Config!A23&amp;"'!L2:L1000"),"Must"),0))</f>
        <v/>
      </c>
      <c r="C59" t="str">
        <f ca="1">IF(Config!A23="","",IFERROR(COUNTIF(INDIRECT("'"&amp;Config!A23&amp;"'!L2:L1000"),"Should"),0))</f>
        <v/>
      </c>
      <c r="D59" t="str">
        <f ca="1">IF(Config!A23="","",IFERROR(COUNTIF(INDIRECT("'"&amp;Config!A23&amp;"'!L2:L1000"),"Could"),0))</f>
        <v/>
      </c>
      <c r="E59" t="str">
        <f ca="1">IF(Config!A23="","",IFERROR(COUNTIF(INDIRECT("'"&amp;Config!A23&amp;"'!L2:L1000"),"Wont"),0))</f>
        <v/>
      </c>
      <c r="F59" t="str">
        <f ca="1">IF(Config!A23="","",IFERROR(COUNTIF(INDIRECT("'"&amp;Config!A23&amp;"'!L2:L1000"),"Want"),0))</f>
        <v/>
      </c>
    </row>
    <row r="60" spans="1:6" x14ac:dyDescent="0.25">
      <c r="A60" s="7" t="s">
        <v>77</v>
      </c>
      <c r="B60">
        <f ca="1">SUM(B40:B59)</f>
        <v>0</v>
      </c>
      <c r="C60">
        <f ca="1">SUM(C40:C59)</f>
        <v>3</v>
      </c>
      <c r="D60">
        <f ca="1">SUM(D40:D59)</f>
        <v>0</v>
      </c>
      <c r="E60">
        <f ca="1">SUM(E40:E59)</f>
        <v>2</v>
      </c>
      <c r="F60">
        <f ca="1">SUM(F40:F59)</f>
        <v>1</v>
      </c>
    </row>
    <row r="62" spans="1:6" x14ac:dyDescent="0.25">
      <c r="A62" s="13" t="s">
        <v>83</v>
      </c>
      <c r="B62" s="8"/>
      <c r="C62" s="8"/>
      <c r="D62" s="8"/>
      <c r="E62" s="8"/>
      <c r="F62" s="8"/>
    </row>
    <row r="63" spans="1:6" x14ac:dyDescent="0.25">
      <c r="A63" s="7" t="s">
        <v>79</v>
      </c>
      <c r="B63" s="7" t="s">
        <v>28</v>
      </c>
      <c r="C63" s="7" t="s">
        <v>36</v>
      </c>
      <c r="D63" s="7" t="s">
        <v>41</v>
      </c>
      <c r="E63" s="7" t="s">
        <v>43</v>
      </c>
      <c r="F63" s="7" t="s">
        <v>47</v>
      </c>
    </row>
    <row r="64" spans="1:6" x14ac:dyDescent="0.25">
      <c r="A64" t="str">
        <f>IF(Config!A4="","",Config!A4)</f>
        <v>ODC Cleanup</v>
      </c>
      <c r="B64">
        <f ca="1">IF(Config!A4="","",IFERROR(COUNTIF(INDIRECT("'"&amp;Config!A4&amp;"'!C2:C1000"),"Planning"),0))</f>
        <v>4</v>
      </c>
      <c r="C64">
        <f ca="1">IF(Config!A4="","",IFERROR(COUNTIF(INDIRECT("'"&amp;Config!A4&amp;"'!C2:C1000"),"Requirements"),0))</f>
        <v>5</v>
      </c>
      <c r="D64">
        <f ca="1">IF(Config!A4="","",IFERROR(COUNTIF(INDIRECT("'"&amp;Config!A4&amp;"'!C2:C1000"),"Design"),0))</f>
        <v>2</v>
      </c>
      <c r="E64">
        <f ca="1">IF(Config!A4="","",IFERROR(COUNTIF(INDIRECT("'"&amp;Config!A4&amp;"'!C2:C1000"),"Implementation"),0))</f>
        <v>4</v>
      </c>
      <c r="F64">
        <f ca="1">IF(Config!A4="","",IFERROR(COUNTIF(INDIRECT("'"&amp;Config!A4&amp;"'!C2:C1000"),"Monitoring"),0))</f>
        <v>4</v>
      </c>
    </row>
    <row r="65" spans="1:6" x14ac:dyDescent="0.25">
      <c r="A65" t="str">
        <f>IF(Config!A5="","",Config!A5)</f>
        <v>Datastore Reclamation</v>
      </c>
      <c r="B65">
        <f ca="1">IF(Config!A5="","",IFERROR(COUNTIF(INDIRECT("'"&amp;Config!A5&amp;"'!C2:C1000"),"Planning"),0))</f>
        <v>4</v>
      </c>
      <c r="C65">
        <f ca="1">IF(Config!A5="","",IFERROR(COUNTIF(INDIRECT("'"&amp;Config!A5&amp;"'!C2:C1000"),"Requirements"),0))</f>
        <v>5</v>
      </c>
      <c r="D65">
        <f ca="1">IF(Config!A5="","",IFERROR(COUNTIF(INDIRECT("'"&amp;Config!A5&amp;"'!C2:C1000"),"Design"),0))</f>
        <v>2</v>
      </c>
      <c r="E65">
        <f ca="1">IF(Config!A5="","",IFERROR(COUNTIF(INDIRECT("'"&amp;Config!A5&amp;"'!C2:C1000"),"Implementation"),0))</f>
        <v>4</v>
      </c>
      <c r="F65">
        <f ca="1">IF(Config!A5="","",IFERROR(COUNTIF(INDIRECT("'"&amp;Config!A5&amp;"'!C2:C1000"),"Monitoring"),0))</f>
        <v>4</v>
      </c>
    </row>
    <row r="66" spans="1:6" x14ac:dyDescent="0.25">
      <c r="A66" t="str">
        <f>IF(Config!A6="","",Config!A6)</f>
        <v>Retired VM Cleanup</v>
      </c>
      <c r="B66">
        <f ca="1">IF(Config!A6="","",IFERROR(COUNTIF(INDIRECT("'"&amp;Config!A6&amp;"'!C2:C1000"),"Planning"),0))</f>
        <v>4</v>
      </c>
      <c r="C66">
        <f ca="1">IF(Config!A6="","",IFERROR(COUNTIF(INDIRECT("'"&amp;Config!A6&amp;"'!C2:C1000"),"Requirements"),0))</f>
        <v>5</v>
      </c>
      <c r="D66">
        <f ca="1">IF(Config!A6="","",IFERROR(COUNTIF(INDIRECT("'"&amp;Config!A6&amp;"'!C2:C1000"),"Design"),0))</f>
        <v>2</v>
      </c>
      <c r="E66">
        <f ca="1">IF(Config!A6="","",IFERROR(COUNTIF(INDIRECT("'"&amp;Config!A6&amp;"'!C2:C1000"),"Implementation"),0))</f>
        <v>4</v>
      </c>
      <c r="F66">
        <f ca="1">IF(Config!A6="","",IFERROR(COUNTIF(INDIRECT("'"&amp;Config!A6&amp;"'!C2:C1000"),"Monitoring"),0))</f>
        <v>4</v>
      </c>
    </row>
    <row r="67" spans="1:6" x14ac:dyDescent="0.25">
      <c r="A67" t="str">
        <f>IF(Config!A7="","",Config!A7)</f>
        <v>Zerto Scripts</v>
      </c>
      <c r="B67">
        <f ca="1">IF(Config!A7="","",IFERROR(COUNTIF(INDIRECT("'"&amp;Config!A7&amp;"'!C2:C1000"),"Planning"),0))</f>
        <v>4</v>
      </c>
      <c r="C67">
        <f ca="1">IF(Config!A7="","",IFERROR(COUNTIF(INDIRECT("'"&amp;Config!A7&amp;"'!C2:C1000"),"Requirements"),0))</f>
        <v>5</v>
      </c>
      <c r="D67">
        <f ca="1">IF(Config!A7="","",IFERROR(COUNTIF(INDIRECT("'"&amp;Config!A7&amp;"'!C2:C1000"),"Design"),0))</f>
        <v>2</v>
      </c>
      <c r="E67">
        <f ca="1">IF(Config!A7="","",IFERROR(COUNTIF(INDIRECT("'"&amp;Config!A7&amp;"'!C2:C1000"),"Implementation"),0))</f>
        <v>4</v>
      </c>
      <c r="F67">
        <f ca="1">IF(Config!A7="","",IFERROR(COUNTIF(INDIRECT("'"&amp;Config!A7&amp;"'!C2:C1000"),"Monitoring"),0))</f>
        <v>4</v>
      </c>
    </row>
    <row r="68" spans="1:6" x14ac:dyDescent="0.25">
      <c r="A68" t="str">
        <f>IF(Config!A8="","",Config!A8)</f>
        <v/>
      </c>
      <c r="B68" t="str">
        <f ca="1">IF(Config!A8="","",IFERROR(COUNTIF(INDIRECT("'"&amp;Config!A8&amp;"'!C2:C1000"),"Planning"),0))</f>
        <v/>
      </c>
      <c r="C68" t="str">
        <f ca="1">IF(Config!A8="","",IFERROR(COUNTIF(INDIRECT("'"&amp;Config!A8&amp;"'!C2:C1000"),"Requirements"),0))</f>
        <v/>
      </c>
      <c r="D68" t="str">
        <f ca="1">IF(Config!A8="","",IFERROR(COUNTIF(INDIRECT("'"&amp;Config!A8&amp;"'!C2:C1000"),"Design"),0))</f>
        <v/>
      </c>
      <c r="E68" t="str">
        <f ca="1">IF(Config!A8="","",IFERROR(COUNTIF(INDIRECT("'"&amp;Config!A8&amp;"'!C2:C1000"),"Implementation"),0))</f>
        <v/>
      </c>
      <c r="F68" t="str">
        <f ca="1">IF(Config!A8="","",IFERROR(COUNTIF(INDIRECT("'"&amp;Config!A8&amp;"'!C2:C1000"),"Monitoring"),0))</f>
        <v/>
      </c>
    </row>
    <row r="69" spans="1:6" x14ac:dyDescent="0.25">
      <c r="A69" t="str">
        <f>IF(Config!A9="","",Config!A9)</f>
        <v/>
      </c>
      <c r="B69" t="str">
        <f ca="1">IF(Config!A9="","",IFERROR(COUNTIF(INDIRECT("'"&amp;Config!A9&amp;"'!C2:C1000"),"Planning"),0))</f>
        <v/>
      </c>
      <c r="C69" t="str">
        <f ca="1">IF(Config!A9="","",IFERROR(COUNTIF(INDIRECT("'"&amp;Config!A9&amp;"'!C2:C1000"),"Requirements"),0))</f>
        <v/>
      </c>
      <c r="D69" t="str">
        <f ca="1">IF(Config!A9="","",IFERROR(COUNTIF(INDIRECT("'"&amp;Config!A9&amp;"'!C2:C1000"),"Design"),0))</f>
        <v/>
      </c>
      <c r="E69" t="str">
        <f ca="1">IF(Config!A9="","",IFERROR(COUNTIF(INDIRECT("'"&amp;Config!A9&amp;"'!C2:C1000"),"Implementation"),0))</f>
        <v/>
      </c>
      <c r="F69" t="str">
        <f ca="1">IF(Config!A9="","",IFERROR(COUNTIF(INDIRECT("'"&amp;Config!A9&amp;"'!C2:C1000"),"Monitoring"),0))</f>
        <v/>
      </c>
    </row>
    <row r="70" spans="1:6" x14ac:dyDescent="0.25">
      <c r="A70" t="str">
        <f>IF(Config!A10="","",Config!A10)</f>
        <v/>
      </c>
      <c r="B70" t="str">
        <f ca="1">IF(Config!A10="","",IFERROR(COUNTIF(INDIRECT("'"&amp;Config!A10&amp;"'!C2:C1000"),"Planning"),0))</f>
        <v/>
      </c>
      <c r="C70" t="str">
        <f ca="1">IF(Config!A10="","",IFERROR(COUNTIF(INDIRECT("'"&amp;Config!A10&amp;"'!C2:C1000"),"Requirements"),0))</f>
        <v/>
      </c>
      <c r="D70" t="str">
        <f ca="1">IF(Config!A10="","",IFERROR(COUNTIF(INDIRECT("'"&amp;Config!A10&amp;"'!C2:C1000"),"Design"),0))</f>
        <v/>
      </c>
      <c r="E70" t="str">
        <f ca="1">IF(Config!A10="","",IFERROR(COUNTIF(INDIRECT("'"&amp;Config!A10&amp;"'!C2:C1000"),"Implementation"),0))</f>
        <v/>
      </c>
      <c r="F70" t="str">
        <f ca="1">IF(Config!A10="","",IFERROR(COUNTIF(INDIRECT("'"&amp;Config!A10&amp;"'!C2:C1000"),"Monitoring"),0))</f>
        <v/>
      </c>
    </row>
    <row r="71" spans="1:6" x14ac:dyDescent="0.25">
      <c r="A71" t="str">
        <f>IF(Config!A11="","",Config!A11)</f>
        <v/>
      </c>
      <c r="B71" t="str">
        <f ca="1">IF(Config!A11="","",IFERROR(COUNTIF(INDIRECT("'"&amp;Config!A11&amp;"'!C2:C1000"),"Planning"),0))</f>
        <v/>
      </c>
      <c r="C71" t="str">
        <f ca="1">IF(Config!A11="","",IFERROR(COUNTIF(INDIRECT("'"&amp;Config!A11&amp;"'!C2:C1000"),"Requirements"),0))</f>
        <v/>
      </c>
      <c r="D71" t="str">
        <f ca="1">IF(Config!A11="","",IFERROR(COUNTIF(INDIRECT("'"&amp;Config!A11&amp;"'!C2:C1000"),"Design"),0))</f>
        <v/>
      </c>
      <c r="E71" t="str">
        <f ca="1">IF(Config!A11="","",IFERROR(COUNTIF(INDIRECT("'"&amp;Config!A11&amp;"'!C2:C1000"),"Implementation"),0))</f>
        <v/>
      </c>
      <c r="F71" t="str">
        <f ca="1">IF(Config!A11="","",IFERROR(COUNTIF(INDIRECT("'"&amp;Config!A11&amp;"'!C2:C1000"),"Monitoring"),0))</f>
        <v/>
      </c>
    </row>
    <row r="72" spans="1:6" x14ac:dyDescent="0.25">
      <c r="A72" t="str">
        <f>IF(Config!A12="","",Config!A12)</f>
        <v/>
      </c>
      <c r="B72" t="str">
        <f ca="1">IF(Config!A12="","",IFERROR(COUNTIF(INDIRECT("'"&amp;Config!A12&amp;"'!C2:C1000"),"Planning"),0))</f>
        <v/>
      </c>
      <c r="C72" t="str">
        <f ca="1">IF(Config!A12="","",IFERROR(COUNTIF(INDIRECT("'"&amp;Config!A12&amp;"'!C2:C1000"),"Requirements"),0))</f>
        <v/>
      </c>
      <c r="D72" t="str">
        <f ca="1">IF(Config!A12="","",IFERROR(COUNTIF(INDIRECT("'"&amp;Config!A12&amp;"'!C2:C1000"),"Design"),0))</f>
        <v/>
      </c>
      <c r="E72" t="str">
        <f ca="1">IF(Config!A12="","",IFERROR(COUNTIF(INDIRECT("'"&amp;Config!A12&amp;"'!C2:C1000"),"Implementation"),0))</f>
        <v/>
      </c>
      <c r="F72" t="str">
        <f ca="1">IF(Config!A12="","",IFERROR(COUNTIF(INDIRECT("'"&amp;Config!A12&amp;"'!C2:C1000"),"Monitoring"),0))</f>
        <v/>
      </c>
    </row>
    <row r="73" spans="1:6" x14ac:dyDescent="0.25">
      <c r="A73" t="str">
        <f>IF(Config!A13="","",Config!A13)</f>
        <v/>
      </c>
      <c r="B73" t="str">
        <f ca="1">IF(Config!A13="","",IFERROR(COUNTIF(INDIRECT("'"&amp;Config!A13&amp;"'!C2:C1000"),"Planning"),0))</f>
        <v/>
      </c>
      <c r="C73" t="str">
        <f ca="1">IF(Config!A13="","",IFERROR(COUNTIF(INDIRECT("'"&amp;Config!A13&amp;"'!C2:C1000"),"Requirements"),0))</f>
        <v/>
      </c>
      <c r="D73" t="str">
        <f ca="1">IF(Config!A13="","",IFERROR(COUNTIF(INDIRECT("'"&amp;Config!A13&amp;"'!C2:C1000"),"Design"),0))</f>
        <v/>
      </c>
      <c r="E73" t="str">
        <f ca="1">IF(Config!A13="","",IFERROR(COUNTIF(INDIRECT("'"&amp;Config!A13&amp;"'!C2:C1000"),"Implementation"),0))</f>
        <v/>
      </c>
      <c r="F73" t="str">
        <f ca="1">IF(Config!A13="","",IFERROR(COUNTIF(INDIRECT("'"&amp;Config!A13&amp;"'!C2:C1000"),"Monitoring"),0))</f>
        <v/>
      </c>
    </row>
    <row r="74" spans="1:6" x14ac:dyDescent="0.25">
      <c r="A74" t="str">
        <f>IF(Config!A14="","",Config!A14)</f>
        <v/>
      </c>
      <c r="B74" t="str">
        <f ca="1">IF(Config!A14="","",IFERROR(COUNTIF(INDIRECT("'"&amp;Config!A14&amp;"'!C2:C1000"),"Planning"),0))</f>
        <v/>
      </c>
      <c r="C74" t="str">
        <f ca="1">IF(Config!A14="","",IFERROR(COUNTIF(INDIRECT("'"&amp;Config!A14&amp;"'!C2:C1000"),"Requirements"),0))</f>
        <v/>
      </c>
      <c r="D74" t="str">
        <f ca="1">IF(Config!A14="","",IFERROR(COUNTIF(INDIRECT("'"&amp;Config!A14&amp;"'!C2:C1000"),"Design"),0))</f>
        <v/>
      </c>
      <c r="E74" t="str">
        <f ca="1">IF(Config!A14="","",IFERROR(COUNTIF(INDIRECT("'"&amp;Config!A14&amp;"'!C2:C1000"),"Implementation"),0))</f>
        <v/>
      </c>
      <c r="F74" t="str">
        <f ca="1">IF(Config!A14="","",IFERROR(COUNTIF(INDIRECT("'"&amp;Config!A14&amp;"'!C2:C1000"),"Monitoring"),0))</f>
        <v/>
      </c>
    </row>
    <row r="75" spans="1:6" x14ac:dyDescent="0.25">
      <c r="A75" t="str">
        <f>IF(Config!A15="","",Config!A15)</f>
        <v/>
      </c>
      <c r="B75" t="str">
        <f ca="1">IF(Config!A15="","",IFERROR(COUNTIF(INDIRECT("'"&amp;Config!A15&amp;"'!C2:C1000"),"Planning"),0))</f>
        <v/>
      </c>
      <c r="C75" t="str">
        <f ca="1">IF(Config!A15="","",IFERROR(COUNTIF(INDIRECT("'"&amp;Config!A15&amp;"'!C2:C1000"),"Requirements"),0))</f>
        <v/>
      </c>
      <c r="D75" t="str">
        <f ca="1">IF(Config!A15="","",IFERROR(COUNTIF(INDIRECT("'"&amp;Config!A15&amp;"'!C2:C1000"),"Design"),0))</f>
        <v/>
      </c>
      <c r="E75" t="str">
        <f ca="1">IF(Config!A15="","",IFERROR(COUNTIF(INDIRECT("'"&amp;Config!A15&amp;"'!C2:C1000"),"Implementation"),0))</f>
        <v/>
      </c>
      <c r="F75" t="str">
        <f ca="1">IF(Config!A15="","",IFERROR(COUNTIF(INDIRECT("'"&amp;Config!A15&amp;"'!C2:C1000"),"Monitoring"),0))</f>
        <v/>
      </c>
    </row>
    <row r="76" spans="1:6" x14ac:dyDescent="0.25">
      <c r="A76" t="str">
        <f>IF(Config!A16="","",Config!A16)</f>
        <v/>
      </c>
      <c r="B76" t="str">
        <f ca="1">IF(Config!A16="","",IFERROR(COUNTIF(INDIRECT("'"&amp;Config!A16&amp;"'!C2:C1000"),"Planning"),0))</f>
        <v/>
      </c>
      <c r="C76" t="str">
        <f ca="1">IF(Config!A16="","",IFERROR(COUNTIF(INDIRECT("'"&amp;Config!A16&amp;"'!C2:C1000"),"Requirements"),0))</f>
        <v/>
      </c>
      <c r="D76" t="str">
        <f ca="1">IF(Config!A16="","",IFERROR(COUNTIF(INDIRECT("'"&amp;Config!A16&amp;"'!C2:C1000"),"Design"),0))</f>
        <v/>
      </c>
      <c r="E76" t="str">
        <f ca="1">IF(Config!A16="","",IFERROR(COUNTIF(INDIRECT("'"&amp;Config!A16&amp;"'!C2:C1000"),"Implementation"),0))</f>
        <v/>
      </c>
      <c r="F76" t="str">
        <f ca="1">IF(Config!A16="","",IFERROR(COUNTIF(INDIRECT("'"&amp;Config!A16&amp;"'!C2:C1000"),"Monitoring"),0))</f>
        <v/>
      </c>
    </row>
    <row r="77" spans="1:6" x14ac:dyDescent="0.25">
      <c r="A77" t="str">
        <f>IF(Config!A17="","",Config!A17)</f>
        <v/>
      </c>
      <c r="B77" t="str">
        <f ca="1">IF(Config!A17="","",IFERROR(COUNTIF(INDIRECT("'"&amp;Config!A17&amp;"'!C2:C1000"),"Planning"),0))</f>
        <v/>
      </c>
      <c r="C77" t="str">
        <f ca="1">IF(Config!A17="","",IFERROR(COUNTIF(INDIRECT("'"&amp;Config!A17&amp;"'!C2:C1000"),"Requirements"),0))</f>
        <v/>
      </c>
      <c r="D77" t="str">
        <f ca="1">IF(Config!A17="","",IFERROR(COUNTIF(INDIRECT("'"&amp;Config!A17&amp;"'!C2:C1000"),"Design"),0))</f>
        <v/>
      </c>
      <c r="E77" t="str">
        <f ca="1">IF(Config!A17="","",IFERROR(COUNTIF(INDIRECT("'"&amp;Config!A17&amp;"'!C2:C1000"),"Implementation"),0))</f>
        <v/>
      </c>
      <c r="F77" t="str">
        <f ca="1">IF(Config!A17="","",IFERROR(COUNTIF(INDIRECT("'"&amp;Config!A17&amp;"'!C2:C1000"),"Monitoring"),0))</f>
        <v/>
      </c>
    </row>
    <row r="78" spans="1:6" x14ac:dyDescent="0.25">
      <c r="A78" t="str">
        <f>IF(Config!A18="","",Config!A18)</f>
        <v/>
      </c>
      <c r="B78" t="str">
        <f ca="1">IF(Config!A18="","",IFERROR(COUNTIF(INDIRECT("'"&amp;Config!A18&amp;"'!C2:C1000"),"Planning"),0))</f>
        <v/>
      </c>
      <c r="C78" t="str">
        <f ca="1">IF(Config!A18="","",IFERROR(COUNTIF(INDIRECT("'"&amp;Config!A18&amp;"'!C2:C1000"),"Requirements"),0))</f>
        <v/>
      </c>
      <c r="D78" t="str">
        <f ca="1">IF(Config!A18="","",IFERROR(COUNTIF(INDIRECT("'"&amp;Config!A18&amp;"'!C2:C1000"),"Design"),0))</f>
        <v/>
      </c>
      <c r="E78" t="str">
        <f ca="1">IF(Config!A18="","",IFERROR(COUNTIF(INDIRECT("'"&amp;Config!A18&amp;"'!C2:C1000"),"Implementation"),0))</f>
        <v/>
      </c>
      <c r="F78" t="str">
        <f ca="1">IF(Config!A18="","",IFERROR(COUNTIF(INDIRECT("'"&amp;Config!A18&amp;"'!C2:C1000"),"Monitoring"),0))</f>
        <v/>
      </c>
    </row>
    <row r="79" spans="1:6" x14ac:dyDescent="0.25">
      <c r="A79" t="str">
        <f>IF(Config!A19="","",Config!A19)</f>
        <v/>
      </c>
      <c r="B79" t="str">
        <f ca="1">IF(Config!A19="","",IFERROR(COUNTIF(INDIRECT("'"&amp;Config!A19&amp;"'!C2:C1000"),"Planning"),0))</f>
        <v/>
      </c>
      <c r="C79" t="str">
        <f ca="1">IF(Config!A19="","",IFERROR(COUNTIF(INDIRECT("'"&amp;Config!A19&amp;"'!C2:C1000"),"Requirements"),0))</f>
        <v/>
      </c>
      <c r="D79" t="str">
        <f ca="1">IF(Config!A19="","",IFERROR(COUNTIF(INDIRECT("'"&amp;Config!A19&amp;"'!C2:C1000"),"Design"),0))</f>
        <v/>
      </c>
      <c r="E79" t="str">
        <f ca="1">IF(Config!A19="","",IFERROR(COUNTIF(INDIRECT("'"&amp;Config!A19&amp;"'!C2:C1000"),"Implementation"),0))</f>
        <v/>
      </c>
      <c r="F79" t="str">
        <f ca="1">IF(Config!A19="","",IFERROR(COUNTIF(INDIRECT("'"&amp;Config!A19&amp;"'!C2:C1000"),"Monitoring"),0))</f>
        <v/>
      </c>
    </row>
    <row r="80" spans="1:6" x14ac:dyDescent="0.25">
      <c r="A80" t="str">
        <f>IF(Config!A20="","",Config!A20)</f>
        <v/>
      </c>
      <c r="B80" t="str">
        <f ca="1">IF(Config!A20="","",IFERROR(COUNTIF(INDIRECT("'"&amp;Config!A20&amp;"'!C2:C1000"),"Planning"),0))</f>
        <v/>
      </c>
      <c r="C80" t="str">
        <f ca="1">IF(Config!A20="","",IFERROR(COUNTIF(INDIRECT("'"&amp;Config!A20&amp;"'!C2:C1000"),"Requirements"),0))</f>
        <v/>
      </c>
      <c r="D80" t="str">
        <f ca="1">IF(Config!A20="","",IFERROR(COUNTIF(INDIRECT("'"&amp;Config!A20&amp;"'!C2:C1000"),"Design"),0))</f>
        <v/>
      </c>
      <c r="E80" t="str">
        <f ca="1">IF(Config!A20="","",IFERROR(COUNTIF(INDIRECT("'"&amp;Config!A20&amp;"'!C2:C1000"),"Implementation"),0))</f>
        <v/>
      </c>
      <c r="F80" t="str">
        <f ca="1">IF(Config!A20="","",IFERROR(COUNTIF(INDIRECT("'"&amp;Config!A20&amp;"'!C2:C1000"),"Monitoring"),0))</f>
        <v/>
      </c>
    </row>
    <row r="81" spans="1:6" x14ac:dyDescent="0.25">
      <c r="A81" t="str">
        <f>IF(Config!A21="","",Config!A21)</f>
        <v/>
      </c>
      <c r="B81" t="str">
        <f ca="1">IF(Config!A21="","",IFERROR(COUNTIF(INDIRECT("'"&amp;Config!A21&amp;"'!C2:C1000"),"Planning"),0))</f>
        <v/>
      </c>
      <c r="C81" t="str">
        <f ca="1">IF(Config!A21="","",IFERROR(COUNTIF(INDIRECT("'"&amp;Config!A21&amp;"'!C2:C1000"),"Requirements"),0))</f>
        <v/>
      </c>
      <c r="D81" t="str">
        <f ca="1">IF(Config!A21="","",IFERROR(COUNTIF(INDIRECT("'"&amp;Config!A21&amp;"'!C2:C1000"),"Design"),0))</f>
        <v/>
      </c>
      <c r="E81" t="str">
        <f ca="1">IF(Config!A21="","",IFERROR(COUNTIF(INDIRECT("'"&amp;Config!A21&amp;"'!C2:C1000"),"Implementation"),0))</f>
        <v/>
      </c>
      <c r="F81" t="str">
        <f ca="1">IF(Config!A21="","",IFERROR(COUNTIF(INDIRECT("'"&amp;Config!A21&amp;"'!C2:C1000"),"Monitoring"),0))</f>
        <v/>
      </c>
    </row>
    <row r="82" spans="1:6" x14ac:dyDescent="0.25">
      <c r="A82" t="str">
        <f>IF(Config!A22="","",Config!A22)</f>
        <v/>
      </c>
      <c r="B82" t="str">
        <f ca="1">IF(Config!A22="","",IFERROR(COUNTIF(INDIRECT("'"&amp;Config!A22&amp;"'!C2:C1000"),"Planning"),0))</f>
        <v/>
      </c>
      <c r="C82" t="str">
        <f ca="1">IF(Config!A22="","",IFERROR(COUNTIF(INDIRECT("'"&amp;Config!A22&amp;"'!C2:C1000"),"Requirements"),0))</f>
        <v/>
      </c>
      <c r="D82" t="str">
        <f ca="1">IF(Config!A22="","",IFERROR(COUNTIF(INDIRECT("'"&amp;Config!A22&amp;"'!C2:C1000"),"Design"),0))</f>
        <v/>
      </c>
      <c r="E82" t="str">
        <f ca="1">IF(Config!A22="","",IFERROR(COUNTIF(INDIRECT("'"&amp;Config!A22&amp;"'!C2:C1000"),"Implementation"),0))</f>
        <v/>
      </c>
      <c r="F82" t="str">
        <f ca="1">IF(Config!A22="","",IFERROR(COUNTIF(INDIRECT("'"&amp;Config!A22&amp;"'!C2:C1000"),"Monitoring"),0))</f>
        <v/>
      </c>
    </row>
    <row r="83" spans="1:6" x14ac:dyDescent="0.25">
      <c r="A83" t="str">
        <f>IF(Config!A23="","",Config!A23)</f>
        <v/>
      </c>
      <c r="B83" t="str">
        <f ca="1">IF(Config!A23="","",IFERROR(COUNTIF(INDIRECT("'"&amp;Config!A23&amp;"'!C2:C1000"),"Planning"),0))</f>
        <v/>
      </c>
      <c r="C83" t="str">
        <f ca="1">IF(Config!A23="","",IFERROR(COUNTIF(INDIRECT("'"&amp;Config!A23&amp;"'!C2:C1000"),"Requirements"),0))</f>
        <v/>
      </c>
      <c r="D83" t="str">
        <f ca="1">IF(Config!A23="","",IFERROR(COUNTIF(INDIRECT("'"&amp;Config!A23&amp;"'!C2:C1000"),"Design"),0))</f>
        <v/>
      </c>
      <c r="E83" t="str">
        <f ca="1">IF(Config!A23="","",IFERROR(COUNTIF(INDIRECT("'"&amp;Config!A23&amp;"'!C2:C1000"),"Implementation"),0))</f>
        <v/>
      </c>
      <c r="F83" t="str">
        <f ca="1">IF(Config!A23="","",IFERROR(COUNTIF(INDIRECT("'"&amp;Config!A23&amp;"'!C2:C1000"),"Monitoring"),0))</f>
        <v/>
      </c>
    </row>
    <row r="84" spans="1:6" x14ac:dyDescent="0.25">
      <c r="A84" s="7" t="s">
        <v>77</v>
      </c>
      <c r="B84">
        <f ca="1">SUM(B64:B83)</f>
        <v>16</v>
      </c>
      <c r="C84">
        <f ca="1">SUM(C64:C83)</f>
        <v>20</v>
      </c>
      <c r="D84">
        <f ca="1">SUM(D64:D83)</f>
        <v>8</v>
      </c>
      <c r="E84">
        <f ca="1">SUM(E64:E83)</f>
        <v>16</v>
      </c>
      <c r="F84">
        <f ca="1">SUM(F64:F83)</f>
        <v>16</v>
      </c>
    </row>
    <row r="86" spans="1:6" x14ac:dyDescent="0.25">
      <c r="A86" s="13" t="s">
        <v>84</v>
      </c>
      <c r="B86" s="8"/>
      <c r="C86" s="8"/>
      <c r="D86" s="8"/>
    </row>
    <row r="87" spans="1:6" x14ac:dyDescent="0.25">
      <c r="A87" s="7" t="s">
        <v>79</v>
      </c>
      <c r="B87" s="7" t="s">
        <v>85</v>
      </c>
      <c r="C87" s="7" t="s">
        <v>86</v>
      </c>
      <c r="D87" s="7" t="s">
        <v>87</v>
      </c>
    </row>
    <row r="88" spans="1:6" x14ac:dyDescent="0.25">
      <c r="A88" t="str">
        <f>IF(Config!A4="","",Config!A4)</f>
        <v>ODC Cleanup</v>
      </c>
      <c r="B88">
        <f ca="1">IF(Config!A4="","",IFERROR(COUNTIF(INDIRECT("'"&amp;Config!A4&amp;"'!G2:G1000"),"required"),0))</f>
        <v>13</v>
      </c>
      <c r="C88">
        <f ca="1">IF(Config!A4="","",IFERROR(COUNTIF(INDIRECT("'"&amp;Config!A4&amp;"'!G2:G1000"),"should have"),0))</f>
        <v>2</v>
      </c>
      <c r="D88" s="14">
        <f ca="1">IF(Config!A4="","",IFERROR(COUNTIF(INDIRECT("'"&amp;Config!A4&amp;"'!G2:G1000"),"required")/COUNTA(INDIRECT("'"&amp;Config!A4&amp;"'!G2:G1000")),0))</f>
        <v>0.68421052631578949</v>
      </c>
    </row>
    <row r="89" spans="1:6" x14ac:dyDescent="0.25">
      <c r="A89" t="str">
        <f>IF(Config!A5="","",Config!A5)</f>
        <v>Datastore Reclamation</v>
      </c>
      <c r="B89">
        <f ca="1">IF(Config!A5="","",IFERROR(COUNTIF(INDIRECT("'"&amp;Config!A5&amp;"'!G2:G1000"),"required"),0))</f>
        <v>19</v>
      </c>
      <c r="C89">
        <f ca="1">IF(Config!A5="","",IFERROR(COUNTIF(INDIRECT("'"&amp;Config!A5&amp;"'!G2:G1000"),"should have"),0))</f>
        <v>0</v>
      </c>
      <c r="D89" s="14">
        <f ca="1">IF(Config!A5="","",IFERROR(COUNTIF(INDIRECT("'"&amp;Config!A5&amp;"'!G2:G1000"),"required")/COUNTA(INDIRECT("'"&amp;Config!A5&amp;"'!G2:G1000")),0))</f>
        <v>1</v>
      </c>
    </row>
    <row r="90" spans="1:6" x14ac:dyDescent="0.25">
      <c r="A90" t="str">
        <f>IF(Config!A6="","",Config!A6)</f>
        <v>Retired VM Cleanup</v>
      </c>
      <c r="B90">
        <f ca="1">IF(Config!A6="","",IFERROR(COUNTIF(INDIRECT("'"&amp;Config!A6&amp;"'!G2:G1000"),"required"),0))</f>
        <v>19</v>
      </c>
      <c r="C90">
        <f ca="1">IF(Config!A6="","",IFERROR(COUNTIF(INDIRECT("'"&amp;Config!A6&amp;"'!G2:G1000"),"should have"),0))</f>
        <v>0</v>
      </c>
      <c r="D90" s="14">
        <f ca="1">IF(Config!A6="","",IFERROR(COUNTIF(INDIRECT("'"&amp;Config!A6&amp;"'!G2:G1000"),"required")/COUNTA(INDIRECT("'"&amp;Config!A6&amp;"'!G2:G1000")),0))</f>
        <v>1</v>
      </c>
    </row>
    <row r="91" spans="1:6" x14ac:dyDescent="0.25">
      <c r="A91" t="str">
        <f>IF(Config!A7="","",Config!A7)</f>
        <v>Zerto Scripts</v>
      </c>
      <c r="B91">
        <f ca="1">IF(Config!A7="","",IFERROR(COUNTIF(INDIRECT("'"&amp;Config!A7&amp;"'!G2:G1000"),"required"),0))</f>
        <v>19</v>
      </c>
      <c r="C91">
        <f ca="1">IF(Config!A7="","",IFERROR(COUNTIF(INDIRECT("'"&amp;Config!A7&amp;"'!G2:G1000"),"should have"),0))</f>
        <v>0</v>
      </c>
      <c r="D91" s="14">
        <f ca="1">IF(Config!A7="","",IFERROR(COUNTIF(INDIRECT("'"&amp;Config!A7&amp;"'!G2:G1000"),"required")/COUNTA(INDIRECT("'"&amp;Config!A7&amp;"'!G2:G1000")),0))</f>
        <v>1</v>
      </c>
    </row>
    <row r="92" spans="1:6" x14ac:dyDescent="0.25">
      <c r="A92" t="str">
        <f>IF(Config!A8="","",Config!A8)</f>
        <v/>
      </c>
      <c r="B92" t="str">
        <f ca="1">IF(Config!A8="","",IFERROR(COUNTIF(INDIRECT("'"&amp;Config!A8&amp;"'!G2:G1000"),"required"),0))</f>
        <v/>
      </c>
      <c r="C92" t="str">
        <f ca="1">IF(Config!A8="","",IFERROR(COUNTIF(INDIRECT("'"&amp;Config!A8&amp;"'!G2:G1000"),"should have"),0))</f>
        <v/>
      </c>
      <c r="D92" s="14" t="str">
        <f ca="1">IF(Config!A8="","",IFERROR(COUNTIF(INDIRECT("'"&amp;Config!A8&amp;"'!G2:G1000"),"required")/COUNTA(INDIRECT("'"&amp;Config!A8&amp;"'!G2:G1000")),0))</f>
        <v/>
      </c>
    </row>
    <row r="93" spans="1:6" x14ac:dyDescent="0.25">
      <c r="A93" t="str">
        <f>IF(Config!A9="","",Config!A9)</f>
        <v/>
      </c>
      <c r="B93" t="str">
        <f ca="1">IF(Config!A9="","",IFERROR(COUNTIF(INDIRECT("'"&amp;Config!A9&amp;"'!G2:G1000"),"required"),0))</f>
        <v/>
      </c>
      <c r="C93" t="str">
        <f ca="1">IF(Config!A9="","",IFERROR(COUNTIF(INDIRECT("'"&amp;Config!A9&amp;"'!G2:G1000"),"should have"),0))</f>
        <v/>
      </c>
      <c r="D93" s="14" t="str">
        <f ca="1">IF(Config!A9="","",IFERROR(COUNTIF(INDIRECT("'"&amp;Config!A9&amp;"'!G2:G1000"),"required")/COUNTA(INDIRECT("'"&amp;Config!A9&amp;"'!G2:G1000")),0))</f>
        <v/>
      </c>
    </row>
    <row r="94" spans="1:6" x14ac:dyDescent="0.25">
      <c r="A94" t="str">
        <f>IF(Config!A10="","",Config!A10)</f>
        <v/>
      </c>
      <c r="B94" t="str">
        <f ca="1">IF(Config!A10="","",IFERROR(COUNTIF(INDIRECT("'"&amp;Config!A10&amp;"'!G2:G1000"),"required"),0))</f>
        <v/>
      </c>
      <c r="C94" t="str">
        <f ca="1">IF(Config!A10="","",IFERROR(COUNTIF(INDIRECT("'"&amp;Config!A10&amp;"'!G2:G1000"),"should have"),0))</f>
        <v/>
      </c>
      <c r="D94" s="14" t="str">
        <f ca="1">IF(Config!A10="","",IFERROR(COUNTIF(INDIRECT("'"&amp;Config!A10&amp;"'!G2:G1000"),"required")/COUNTA(INDIRECT("'"&amp;Config!A10&amp;"'!G2:G1000")),0))</f>
        <v/>
      </c>
    </row>
    <row r="95" spans="1:6" x14ac:dyDescent="0.25">
      <c r="A95" t="str">
        <f>IF(Config!A11="","",Config!A11)</f>
        <v/>
      </c>
      <c r="B95" t="str">
        <f ca="1">IF(Config!A11="","",IFERROR(COUNTIF(INDIRECT("'"&amp;Config!A11&amp;"'!G2:G1000"),"required"),0))</f>
        <v/>
      </c>
      <c r="C95" t="str">
        <f ca="1">IF(Config!A11="","",IFERROR(COUNTIF(INDIRECT("'"&amp;Config!A11&amp;"'!G2:G1000"),"should have"),0))</f>
        <v/>
      </c>
      <c r="D95" s="14" t="str">
        <f ca="1">IF(Config!A11="","",IFERROR(COUNTIF(INDIRECT("'"&amp;Config!A11&amp;"'!G2:G1000"),"required")/COUNTA(INDIRECT("'"&amp;Config!A11&amp;"'!G2:G1000")),0))</f>
        <v/>
      </c>
    </row>
    <row r="96" spans="1:6" x14ac:dyDescent="0.25">
      <c r="A96" t="str">
        <f>IF(Config!A12="","",Config!A12)</f>
        <v/>
      </c>
      <c r="B96" t="str">
        <f ca="1">IF(Config!A12="","",IFERROR(COUNTIF(INDIRECT("'"&amp;Config!A12&amp;"'!G2:G1000"),"required"),0))</f>
        <v/>
      </c>
      <c r="C96" t="str">
        <f ca="1">IF(Config!A12="","",IFERROR(COUNTIF(INDIRECT("'"&amp;Config!A12&amp;"'!G2:G1000"),"should have"),0))</f>
        <v/>
      </c>
      <c r="D96" s="14" t="str">
        <f ca="1">IF(Config!A12="","",IFERROR(COUNTIF(INDIRECT("'"&amp;Config!A12&amp;"'!G2:G1000"),"required")/COUNTA(INDIRECT("'"&amp;Config!A12&amp;"'!G2:G1000")),0))</f>
        <v/>
      </c>
    </row>
    <row r="97" spans="1:4" x14ac:dyDescent="0.25">
      <c r="A97" t="str">
        <f>IF(Config!A13="","",Config!A13)</f>
        <v/>
      </c>
      <c r="B97" t="str">
        <f ca="1">IF(Config!A13="","",IFERROR(COUNTIF(INDIRECT("'"&amp;Config!A13&amp;"'!G2:G1000"),"required"),0))</f>
        <v/>
      </c>
      <c r="C97" t="str">
        <f ca="1">IF(Config!A13="","",IFERROR(COUNTIF(INDIRECT("'"&amp;Config!A13&amp;"'!G2:G1000"),"should have"),0))</f>
        <v/>
      </c>
      <c r="D97" s="14" t="str">
        <f ca="1">IF(Config!A13="","",IFERROR(COUNTIF(INDIRECT("'"&amp;Config!A13&amp;"'!G2:G1000"),"required")/COUNTA(INDIRECT("'"&amp;Config!A13&amp;"'!G2:G1000")),0))</f>
        <v/>
      </c>
    </row>
    <row r="98" spans="1:4" x14ac:dyDescent="0.25">
      <c r="A98" t="str">
        <f>IF(Config!A14="","",Config!A14)</f>
        <v/>
      </c>
      <c r="B98" t="str">
        <f ca="1">IF(Config!A14="","",IFERROR(COUNTIF(INDIRECT("'"&amp;Config!A14&amp;"'!G2:G1000"),"required"),0))</f>
        <v/>
      </c>
      <c r="C98" t="str">
        <f ca="1">IF(Config!A14="","",IFERROR(COUNTIF(INDIRECT("'"&amp;Config!A14&amp;"'!G2:G1000"),"should have"),0))</f>
        <v/>
      </c>
      <c r="D98" s="14" t="str">
        <f ca="1">IF(Config!A14="","",IFERROR(COUNTIF(INDIRECT("'"&amp;Config!A14&amp;"'!G2:G1000"),"required")/COUNTA(INDIRECT("'"&amp;Config!A14&amp;"'!G2:G1000")),0))</f>
        <v/>
      </c>
    </row>
    <row r="99" spans="1:4" x14ac:dyDescent="0.25">
      <c r="A99" t="str">
        <f>IF(Config!A15="","",Config!A15)</f>
        <v/>
      </c>
      <c r="B99" t="str">
        <f ca="1">IF(Config!A15="","",IFERROR(COUNTIF(INDIRECT("'"&amp;Config!A15&amp;"'!G2:G1000"),"required"),0))</f>
        <v/>
      </c>
      <c r="C99" t="str">
        <f ca="1">IF(Config!A15="","",IFERROR(COUNTIF(INDIRECT("'"&amp;Config!A15&amp;"'!G2:G1000"),"should have"),0))</f>
        <v/>
      </c>
      <c r="D99" s="14" t="str">
        <f ca="1">IF(Config!A15="","",IFERROR(COUNTIF(INDIRECT("'"&amp;Config!A15&amp;"'!G2:G1000"),"required")/COUNTA(INDIRECT("'"&amp;Config!A15&amp;"'!G2:G1000")),0))</f>
        <v/>
      </c>
    </row>
    <row r="100" spans="1:4" x14ac:dyDescent="0.25">
      <c r="A100" t="str">
        <f>IF(Config!A16="","",Config!A16)</f>
        <v/>
      </c>
      <c r="B100" t="str">
        <f ca="1">IF(Config!A16="","",IFERROR(COUNTIF(INDIRECT("'"&amp;Config!A16&amp;"'!G2:G1000"),"required"),0))</f>
        <v/>
      </c>
      <c r="C100" t="str">
        <f ca="1">IF(Config!A16="","",IFERROR(COUNTIF(INDIRECT("'"&amp;Config!A16&amp;"'!G2:G1000"),"should have"),0))</f>
        <v/>
      </c>
      <c r="D100" s="14" t="str">
        <f ca="1">IF(Config!A16="","",IFERROR(COUNTIF(INDIRECT("'"&amp;Config!A16&amp;"'!G2:G1000"),"required")/COUNTA(INDIRECT("'"&amp;Config!A16&amp;"'!G2:G1000")),0))</f>
        <v/>
      </c>
    </row>
    <row r="101" spans="1:4" x14ac:dyDescent="0.25">
      <c r="A101" t="str">
        <f>IF(Config!A17="","",Config!A17)</f>
        <v/>
      </c>
      <c r="B101" t="str">
        <f ca="1">IF(Config!A17="","",IFERROR(COUNTIF(INDIRECT("'"&amp;Config!A17&amp;"'!G2:G1000"),"required"),0))</f>
        <v/>
      </c>
      <c r="C101" t="str">
        <f ca="1">IF(Config!A17="","",IFERROR(COUNTIF(INDIRECT("'"&amp;Config!A17&amp;"'!G2:G1000"),"should have"),0))</f>
        <v/>
      </c>
      <c r="D101" s="14" t="str">
        <f ca="1">IF(Config!A17="","",IFERROR(COUNTIF(INDIRECT("'"&amp;Config!A17&amp;"'!G2:G1000"),"required")/COUNTA(INDIRECT("'"&amp;Config!A17&amp;"'!G2:G1000")),0))</f>
        <v/>
      </c>
    </row>
    <row r="102" spans="1:4" x14ac:dyDescent="0.25">
      <c r="A102" t="str">
        <f>IF(Config!A18="","",Config!A18)</f>
        <v/>
      </c>
      <c r="B102" t="str">
        <f ca="1">IF(Config!A18="","",IFERROR(COUNTIF(INDIRECT("'"&amp;Config!A18&amp;"'!G2:G1000"),"required"),0))</f>
        <v/>
      </c>
      <c r="C102" t="str">
        <f ca="1">IF(Config!A18="","",IFERROR(COUNTIF(INDIRECT("'"&amp;Config!A18&amp;"'!G2:G1000"),"should have"),0))</f>
        <v/>
      </c>
      <c r="D102" s="14" t="str">
        <f ca="1">IF(Config!A18="","",IFERROR(COUNTIF(INDIRECT("'"&amp;Config!A18&amp;"'!G2:G1000"),"required")/COUNTA(INDIRECT("'"&amp;Config!A18&amp;"'!G2:G1000")),0))</f>
        <v/>
      </c>
    </row>
    <row r="103" spans="1:4" x14ac:dyDescent="0.25">
      <c r="A103" t="str">
        <f>IF(Config!A19="","",Config!A19)</f>
        <v/>
      </c>
      <c r="B103" t="str">
        <f ca="1">IF(Config!A19="","",IFERROR(COUNTIF(INDIRECT("'"&amp;Config!A19&amp;"'!G2:G1000"),"required"),0))</f>
        <v/>
      </c>
      <c r="C103" t="str">
        <f ca="1">IF(Config!A19="","",IFERROR(COUNTIF(INDIRECT("'"&amp;Config!A19&amp;"'!G2:G1000"),"should have"),0))</f>
        <v/>
      </c>
      <c r="D103" s="14" t="str">
        <f ca="1">IF(Config!A19="","",IFERROR(COUNTIF(INDIRECT("'"&amp;Config!A19&amp;"'!G2:G1000"),"required")/COUNTA(INDIRECT("'"&amp;Config!A19&amp;"'!G2:G1000")),0))</f>
        <v/>
      </c>
    </row>
    <row r="104" spans="1:4" x14ac:dyDescent="0.25">
      <c r="A104" t="str">
        <f>IF(Config!A20="","",Config!A20)</f>
        <v/>
      </c>
      <c r="B104" t="str">
        <f ca="1">IF(Config!A20="","",IFERROR(COUNTIF(INDIRECT("'"&amp;Config!A20&amp;"'!G2:G1000"),"required"),0))</f>
        <v/>
      </c>
      <c r="C104" t="str">
        <f ca="1">IF(Config!A20="","",IFERROR(COUNTIF(INDIRECT("'"&amp;Config!A20&amp;"'!G2:G1000"),"should have"),0))</f>
        <v/>
      </c>
      <c r="D104" s="14" t="str">
        <f ca="1">IF(Config!A20="","",IFERROR(COUNTIF(INDIRECT("'"&amp;Config!A20&amp;"'!G2:G1000"),"required")/COUNTA(INDIRECT("'"&amp;Config!A20&amp;"'!G2:G1000")),0))</f>
        <v/>
      </c>
    </row>
    <row r="105" spans="1:4" x14ac:dyDescent="0.25">
      <c r="A105" t="str">
        <f>IF(Config!A21="","",Config!A21)</f>
        <v/>
      </c>
      <c r="B105" t="str">
        <f ca="1">IF(Config!A21="","",IFERROR(COUNTIF(INDIRECT("'"&amp;Config!A21&amp;"'!G2:G1000"),"required"),0))</f>
        <v/>
      </c>
      <c r="C105" t="str">
        <f ca="1">IF(Config!A21="","",IFERROR(COUNTIF(INDIRECT("'"&amp;Config!A21&amp;"'!G2:G1000"),"should have"),0))</f>
        <v/>
      </c>
      <c r="D105" s="14" t="str">
        <f ca="1">IF(Config!A21="","",IFERROR(COUNTIF(INDIRECT("'"&amp;Config!A21&amp;"'!G2:G1000"),"required")/COUNTA(INDIRECT("'"&amp;Config!A21&amp;"'!G2:G1000")),0))</f>
        <v/>
      </c>
    </row>
    <row r="106" spans="1:4" x14ac:dyDescent="0.25">
      <c r="A106" t="str">
        <f>IF(Config!A22="","",Config!A22)</f>
        <v/>
      </c>
      <c r="B106" t="str">
        <f ca="1">IF(Config!A22="","",IFERROR(COUNTIF(INDIRECT("'"&amp;Config!A22&amp;"'!G2:G1000"),"required"),0))</f>
        <v/>
      </c>
      <c r="C106" t="str">
        <f ca="1">IF(Config!A22="","",IFERROR(COUNTIF(INDIRECT("'"&amp;Config!A22&amp;"'!G2:G1000"),"should have"),0))</f>
        <v/>
      </c>
      <c r="D106" s="14" t="str">
        <f ca="1">IF(Config!A22="","",IFERROR(COUNTIF(INDIRECT("'"&amp;Config!A22&amp;"'!G2:G1000"),"required")/COUNTA(INDIRECT("'"&amp;Config!A22&amp;"'!G2:G1000")),0))</f>
        <v/>
      </c>
    </row>
    <row r="107" spans="1:4" x14ac:dyDescent="0.25">
      <c r="A107" t="str">
        <f>IF(Config!A23="","",Config!A23)</f>
        <v/>
      </c>
      <c r="B107" t="str">
        <f ca="1">IF(Config!A23="","",IFERROR(COUNTIF(INDIRECT("'"&amp;Config!A23&amp;"'!G2:G1000"),"required"),0))</f>
        <v/>
      </c>
      <c r="C107" t="str">
        <f ca="1">IF(Config!A23="","",IFERROR(COUNTIF(INDIRECT("'"&amp;Config!A23&amp;"'!G2:G1000"),"should have"),0))</f>
        <v/>
      </c>
      <c r="D107" s="14" t="str">
        <f ca="1">IF(Config!A23="","",IFERROR(COUNTIF(INDIRECT("'"&amp;Config!A23&amp;"'!G2:G1000"),"required")/COUNTA(INDIRECT("'"&amp;Config!A23&amp;"'!G2:G1000")),0))</f>
        <v/>
      </c>
    </row>
    <row r="108" spans="1:4" x14ac:dyDescent="0.25">
      <c r="A108" s="7" t="s">
        <v>77</v>
      </c>
      <c r="B108">
        <f ca="1">SUM(B88:B107)</f>
        <v>70</v>
      </c>
      <c r="C108">
        <f ca="1">SUM(C88:C107)</f>
        <v>2</v>
      </c>
      <c r="D108" s="14">
        <f ca="1">IFERROR(B108/(B108+C108),0)</f>
        <v>0.97222222222222221</v>
      </c>
    </row>
    <row r="110" spans="1:4" x14ac:dyDescent="0.25">
      <c r="A110" s="13" t="s">
        <v>88</v>
      </c>
      <c r="B110" s="8"/>
      <c r="C110" s="8"/>
      <c r="D110" s="8"/>
    </row>
    <row r="111" spans="1:4" x14ac:dyDescent="0.25">
      <c r="A111" s="7" t="s">
        <v>79</v>
      </c>
      <c r="B111" s="7" t="s">
        <v>89</v>
      </c>
      <c r="C111" s="7" t="s">
        <v>90</v>
      </c>
      <c r="D111" s="7" t="s">
        <v>10</v>
      </c>
    </row>
    <row r="112" spans="1:4" x14ac:dyDescent="0.25">
      <c r="A112" t="str">
        <f>IF(Config!A4="","",Config!A4)</f>
        <v>ODC Cleanup</v>
      </c>
      <c r="B112">
        <f ca="1">IF(Config!A4="","",IFERROR(COUNTBLANK(INDIRECT("'"&amp;Config!A4&amp;"'!J2:J100"))-COUNTBLANK(INDIRECT("'"&amp;Config!A4&amp;"'!A2:A100"))+COUNTIF(INDIRECT("'"&amp;Config!A4&amp;"'!J2:J100"),"None"),0))</f>
        <v>18</v>
      </c>
      <c r="C112">
        <f ca="1">IF(Config!A4="","",IFERROR(COUNTA(INDIRECT("'"&amp;Config!A4&amp;"'!J2:J100"))-COUNTIF(INDIRECT("'"&amp;Config!A4&amp;"'!J2:J100"),"None"),0))</f>
        <v>1</v>
      </c>
      <c r="D112" s="14">
        <f ca="1">IF(OR(Config!A4="",B112+C112=0),"",IFERROR(C112/(B112+C112),0))</f>
        <v>5.2631578947368418E-2</v>
      </c>
    </row>
    <row r="113" spans="1:4" x14ac:dyDescent="0.25">
      <c r="A113" t="str">
        <f>IF(Config!A5="","",Config!A5)</f>
        <v>Datastore Reclamation</v>
      </c>
      <c r="B113">
        <f ca="1">IF(Config!A5="","",IFERROR(COUNTBLANK(INDIRECT("'"&amp;Config!A5&amp;"'!J2:J100"))-COUNTBLANK(INDIRECT("'"&amp;Config!A5&amp;"'!A2:A100"))+COUNTIF(INDIRECT("'"&amp;Config!A5&amp;"'!J2:J100"),"None"),0))</f>
        <v>19</v>
      </c>
      <c r="C113">
        <f ca="1">IF(Config!A5="","",IFERROR(COUNTA(INDIRECT("'"&amp;Config!A5&amp;"'!J2:J100"))-COUNTIF(INDIRECT("'"&amp;Config!A5&amp;"'!J2:J100"),"None"),0))</f>
        <v>0</v>
      </c>
      <c r="D113" s="14">
        <f ca="1">IF(OR(Config!A5="",B113+C113=0),"",IFERROR(C113/(B113+C113),0))</f>
        <v>0</v>
      </c>
    </row>
    <row r="114" spans="1:4" x14ac:dyDescent="0.25">
      <c r="A114" t="str">
        <f>IF(Config!A6="","",Config!A6)</f>
        <v>Retired VM Cleanup</v>
      </c>
      <c r="B114">
        <f ca="1">IF(Config!A6="","",IFERROR(COUNTBLANK(INDIRECT("'"&amp;Config!A6&amp;"'!J2:J100"))-COUNTBLANK(INDIRECT("'"&amp;Config!A6&amp;"'!A2:A100"))+COUNTIF(INDIRECT("'"&amp;Config!A6&amp;"'!J2:J100"),"None"),0))</f>
        <v>19</v>
      </c>
      <c r="C114">
        <f ca="1">IF(Config!A6="","",IFERROR(COUNTA(INDIRECT("'"&amp;Config!A6&amp;"'!J2:J100"))-COUNTIF(INDIRECT("'"&amp;Config!A6&amp;"'!J2:J100"),"None"),0))</f>
        <v>0</v>
      </c>
      <c r="D114" s="14">
        <f ca="1">IF(OR(Config!A6="",B114+C114=0),"",IFERROR(C114/(B114+C114),0))</f>
        <v>0</v>
      </c>
    </row>
    <row r="115" spans="1:4" x14ac:dyDescent="0.25">
      <c r="A115" t="str">
        <f>IF(Config!A7="","",Config!A7)</f>
        <v>Zerto Scripts</v>
      </c>
      <c r="B115">
        <f ca="1">IF(Config!A7="","",IFERROR(COUNTBLANK(INDIRECT("'"&amp;Config!A7&amp;"'!J2:J100"))-COUNTBLANK(INDIRECT("'"&amp;Config!A7&amp;"'!A2:A100"))+COUNTIF(INDIRECT("'"&amp;Config!A7&amp;"'!J2:J100"),"None"),0))</f>
        <v>19</v>
      </c>
      <c r="C115">
        <f ca="1">IF(Config!A7="","",IFERROR(COUNTA(INDIRECT("'"&amp;Config!A7&amp;"'!J2:J100"))-COUNTIF(INDIRECT("'"&amp;Config!A7&amp;"'!J2:J100"),"None"),0))</f>
        <v>0</v>
      </c>
      <c r="D115" s="14">
        <f ca="1">IF(OR(Config!A7="",B115+C115=0),"",IFERROR(C115/(B115+C115),0))</f>
        <v>0</v>
      </c>
    </row>
    <row r="116" spans="1:4" x14ac:dyDescent="0.25">
      <c r="A116" t="str">
        <f>IF(Config!A8="","",Config!A8)</f>
        <v/>
      </c>
      <c r="B116" t="str">
        <f ca="1">IF(Config!A8="","",IFERROR(COUNTBLANK(INDIRECT("'"&amp;Config!A8&amp;"'!J2:J100"))-COUNTBLANK(INDIRECT("'"&amp;Config!A8&amp;"'!A2:A100"))+COUNTIF(INDIRECT("'"&amp;Config!A8&amp;"'!J2:J100"),"None"),0))</f>
        <v/>
      </c>
      <c r="C116" t="str">
        <f ca="1">IF(Config!A8="","",IFERROR(COUNTA(INDIRECT("'"&amp;Config!A8&amp;"'!J2:J100"))-COUNTIF(INDIRECT("'"&amp;Config!A8&amp;"'!J2:J100"),"None"),0))</f>
        <v/>
      </c>
      <c r="D116" s="14" t="e">
        <f ca="1">IF(OR(Config!A8="",B116+C116=0),"",IFERROR(C116/(B116+C116),0))</f>
        <v>#VALUE!</v>
      </c>
    </row>
    <row r="117" spans="1:4" x14ac:dyDescent="0.25">
      <c r="A117" t="str">
        <f>IF(Config!A9="","",Config!A9)</f>
        <v/>
      </c>
      <c r="B117" t="str">
        <f ca="1">IF(Config!A9="","",IFERROR(COUNTBLANK(INDIRECT("'"&amp;Config!A9&amp;"'!J2:J100"))-COUNTBLANK(INDIRECT("'"&amp;Config!A9&amp;"'!A2:A100"))+COUNTIF(INDIRECT("'"&amp;Config!A9&amp;"'!J2:J100"),"None"),0))</f>
        <v/>
      </c>
      <c r="C117" t="str">
        <f ca="1">IF(Config!A9="","",IFERROR(COUNTA(INDIRECT("'"&amp;Config!A9&amp;"'!J2:J100"))-COUNTIF(INDIRECT("'"&amp;Config!A9&amp;"'!J2:J100"),"None"),0))</f>
        <v/>
      </c>
      <c r="D117" s="14" t="e">
        <f ca="1">IF(OR(Config!A9="",B117+C117=0),"",IFERROR(C117/(B117+C117),0))</f>
        <v>#VALUE!</v>
      </c>
    </row>
    <row r="118" spans="1:4" x14ac:dyDescent="0.25">
      <c r="A118" t="str">
        <f>IF(Config!A10="","",Config!A10)</f>
        <v/>
      </c>
      <c r="B118" t="str">
        <f ca="1">IF(Config!A10="","",IFERROR(COUNTBLANK(INDIRECT("'"&amp;Config!A10&amp;"'!J2:J100"))-COUNTBLANK(INDIRECT("'"&amp;Config!A10&amp;"'!A2:A100"))+COUNTIF(INDIRECT("'"&amp;Config!A10&amp;"'!J2:J100"),"None"),0))</f>
        <v/>
      </c>
      <c r="C118" t="str">
        <f ca="1">IF(Config!A10="","",IFERROR(COUNTA(INDIRECT("'"&amp;Config!A10&amp;"'!J2:J100"))-COUNTIF(INDIRECT("'"&amp;Config!A10&amp;"'!J2:J100"),"None"),0))</f>
        <v/>
      </c>
      <c r="D118" s="14" t="e">
        <f ca="1">IF(OR(Config!A10="",B118+C118=0),"",IFERROR(C118/(B118+C118),0))</f>
        <v>#VALUE!</v>
      </c>
    </row>
    <row r="119" spans="1:4" x14ac:dyDescent="0.25">
      <c r="A119" t="str">
        <f>IF(Config!A11="","",Config!A11)</f>
        <v/>
      </c>
      <c r="B119" t="str">
        <f ca="1">IF(Config!A11="","",IFERROR(COUNTBLANK(INDIRECT("'"&amp;Config!A11&amp;"'!J2:J100"))-COUNTBLANK(INDIRECT("'"&amp;Config!A11&amp;"'!A2:A100"))+COUNTIF(INDIRECT("'"&amp;Config!A11&amp;"'!J2:J100"),"None"),0))</f>
        <v/>
      </c>
      <c r="C119" t="str">
        <f ca="1">IF(Config!A11="","",IFERROR(COUNTA(INDIRECT("'"&amp;Config!A11&amp;"'!J2:J100"))-COUNTIF(INDIRECT("'"&amp;Config!A11&amp;"'!J2:J100"),"None"),0))</f>
        <v/>
      </c>
      <c r="D119" s="14" t="e">
        <f ca="1">IF(OR(Config!A11="",B119+C119=0),"",IFERROR(C119/(B119+C119),0))</f>
        <v>#VALUE!</v>
      </c>
    </row>
    <row r="120" spans="1:4" x14ac:dyDescent="0.25">
      <c r="A120" t="str">
        <f>IF(Config!A12="","",Config!A12)</f>
        <v/>
      </c>
      <c r="B120" t="str">
        <f ca="1">IF(Config!A12="","",IFERROR(COUNTBLANK(INDIRECT("'"&amp;Config!A12&amp;"'!J2:J100"))-COUNTBLANK(INDIRECT("'"&amp;Config!A12&amp;"'!A2:A100"))+COUNTIF(INDIRECT("'"&amp;Config!A12&amp;"'!J2:J100"),"None"),0))</f>
        <v/>
      </c>
      <c r="C120" t="str">
        <f ca="1">IF(Config!A12="","",IFERROR(COUNTA(INDIRECT("'"&amp;Config!A12&amp;"'!J2:J100"))-COUNTIF(INDIRECT("'"&amp;Config!A12&amp;"'!J2:J100"),"None"),0))</f>
        <v/>
      </c>
      <c r="D120" s="14" t="e">
        <f ca="1">IF(OR(Config!A12="",B120+C120=0),"",IFERROR(C120/(B120+C120),0))</f>
        <v>#VALUE!</v>
      </c>
    </row>
    <row r="121" spans="1:4" x14ac:dyDescent="0.25">
      <c r="A121" t="str">
        <f>IF(Config!A13="","",Config!A13)</f>
        <v/>
      </c>
      <c r="B121" t="str">
        <f ca="1">IF(Config!A13="","",IFERROR(COUNTBLANK(INDIRECT("'"&amp;Config!A13&amp;"'!J2:J100"))-COUNTBLANK(INDIRECT("'"&amp;Config!A13&amp;"'!A2:A100"))+COUNTIF(INDIRECT("'"&amp;Config!A13&amp;"'!J2:J100"),"None"),0))</f>
        <v/>
      </c>
      <c r="C121" t="str">
        <f ca="1">IF(Config!A13="","",IFERROR(COUNTA(INDIRECT("'"&amp;Config!A13&amp;"'!J2:J100"))-COUNTIF(INDIRECT("'"&amp;Config!A13&amp;"'!J2:J100"),"None"),0))</f>
        <v/>
      </c>
      <c r="D121" s="14" t="e">
        <f ca="1">IF(OR(Config!A13="",B121+C121=0),"",IFERROR(C121/(B121+C121),0))</f>
        <v>#VALUE!</v>
      </c>
    </row>
    <row r="122" spans="1:4" x14ac:dyDescent="0.25">
      <c r="A122" t="str">
        <f>IF(Config!A14="","",Config!A14)</f>
        <v/>
      </c>
      <c r="B122" t="str">
        <f ca="1">IF(Config!A14="","",IFERROR(COUNTBLANK(INDIRECT("'"&amp;Config!A14&amp;"'!J2:J100"))-COUNTBLANK(INDIRECT("'"&amp;Config!A14&amp;"'!A2:A100"))+COUNTIF(INDIRECT("'"&amp;Config!A14&amp;"'!J2:J100"),"None"),0))</f>
        <v/>
      </c>
      <c r="C122" t="str">
        <f ca="1">IF(Config!A14="","",IFERROR(COUNTA(INDIRECT("'"&amp;Config!A14&amp;"'!J2:J100"))-COUNTIF(INDIRECT("'"&amp;Config!A14&amp;"'!J2:J100"),"None"),0))</f>
        <v/>
      </c>
      <c r="D122" s="14" t="e">
        <f ca="1">IF(OR(Config!A14="",B122+C122=0),"",IFERROR(C122/(B122+C122),0))</f>
        <v>#VALUE!</v>
      </c>
    </row>
    <row r="123" spans="1:4" x14ac:dyDescent="0.25">
      <c r="A123" t="str">
        <f>IF(Config!A15="","",Config!A15)</f>
        <v/>
      </c>
      <c r="B123" t="str">
        <f ca="1">IF(Config!A15="","",IFERROR(COUNTBLANK(INDIRECT("'"&amp;Config!A15&amp;"'!J2:J100"))-COUNTBLANK(INDIRECT("'"&amp;Config!A15&amp;"'!A2:A100"))+COUNTIF(INDIRECT("'"&amp;Config!A15&amp;"'!J2:J100"),"None"),0))</f>
        <v/>
      </c>
      <c r="C123" t="str">
        <f ca="1">IF(Config!A15="","",IFERROR(COUNTA(INDIRECT("'"&amp;Config!A15&amp;"'!J2:J100"))-COUNTIF(INDIRECT("'"&amp;Config!A15&amp;"'!J2:J100"),"None"),0))</f>
        <v/>
      </c>
      <c r="D123" s="14" t="e">
        <f ca="1">IF(OR(Config!A15="",B123+C123=0),"",IFERROR(C123/(B123+C123),0))</f>
        <v>#VALUE!</v>
      </c>
    </row>
    <row r="124" spans="1:4" x14ac:dyDescent="0.25">
      <c r="A124" t="str">
        <f>IF(Config!A16="","",Config!A16)</f>
        <v/>
      </c>
      <c r="B124" t="str">
        <f ca="1">IF(Config!A16="","",IFERROR(COUNTBLANK(INDIRECT("'"&amp;Config!A16&amp;"'!J2:J100"))-COUNTBLANK(INDIRECT("'"&amp;Config!A16&amp;"'!A2:A100"))+COUNTIF(INDIRECT("'"&amp;Config!A16&amp;"'!J2:J100"),"None"),0))</f>
        <v/>
      </c>
      <c r="C124" t="str">
        <f ca="1">IF(Config!A16="","",IFERROR(COUNTA(INDIRECT("'"&amp;Config!A16&amp;"'!J2:J100"))-COUNTIF(INDIRECT("'"&amp;Config!A16&amp;"'!J2:J100"),"None"),0))</f>
        <v/>
      </c>
      <c r="D124" s="14" t="e">
        <f ca="1">IF(OR(Config!A16="",B124+C124=0),"",IFERROR(C124/(B124+C124),0))</f>
        <v>#VALUE!</v>
      </c>
    </row>
    <row r="125" spans="1:4" x14ac:dyDescent="0.25">
      <c r="A125" t="str">
        <f>IF(Config!A17="","",Config!A17)</f>
        <v/>
      </c>
      <c r="B125" t="str">
        <f ca="1">IF(Config!A17="","",IFERROR(COUNTBLANK(INDIRECT("'"&amp;Config!A17&amp;"'!J2:J100"))-COUNTBLANK(INDIRECT("'"&amp;Config!A17&amp;"'!A2:A100"))+COUNTIF(INDIRECT("'"&amp;Config!A17&amp;"'!J2:J100"),"None"),0))</f>
        <v/>
      </c>
      <c r="C125" t="str">
        <f ca="1">IF(Config!A17="","",IFERROR(COUNTA(INDIRECT("'"&amp;Config!A17&amp;"'!J2:J100"))-COUNTIF(INDIRECT("'"&amp;Config!A17&amp;"'!J2:J100"),"None"),0))</f>
        <v/>
      </c>
      <c r="D125" s="14" t="e">
        <f ca="1">IF(OR(Config!A17="",B125+C125=0),"",IFERROR(C125/(B125+C125),0))</f>
        <v>#VALUE!</v>
      </c>
    </row>
    <row r="126" spans="1:4" x14ac:dyDescent="0.25">
      <c r="A126" t="str">
        <f>IF(Config!A18="","",Config!A18)</f>
        <v/>
      </c>
      <c r="B126" t="str">
        <f ca="1">IF(Config!A18="","",IFERROR(COUNTBLANK(INDIRECT("'"&amp;Config!A18&amp;"'!J2:J100"))-COUNTBLANK(INDIRECT("'"&amp;Config!A18&amp;"'!A2:A100"))+COUNTIF(INDIRECT("'"&amp;Config!A18&amp;"'!J2:J100"),"None"),0))</f>
        <v/>
      </c>
      <c r="C126" t="str">
        <f ca="1">IF(Config!A18="","",IFERROR(COUNTA(INDIRECT("'"&amp;Config!A18&amp;"'!J2:J100"))-COUNTIF(INDIRECT("'"&amp;Config!A18&amp;"'!J2:J100"),"None"),0))</f>
        <v/>
      </c>
      <c r="D126" s="14" t="e">
        <f ca="1">IF(OR(Config!A18="",B126+C126=0),"",IFERROR(C126/(B126+C126),0))</f>
        <v>#VALUE!</v>
      </c>
    </row>
    <row r="127" spans="1:4" x14ac:dyDescent="0.25">
      <c r="A127" t="str">
        <f>IF(Config!A19="","",Config!A19)</f>
        <v/>
      </c>
      <c r="B127" t="str">
        <f ca="1">IF(Config!A19="","",IFERROR(COUNTBLANK(INDIRECT("'"&amp;Config!A19&amp;"'!J2:J100"))-COUNTBLANK(INDIRECT("'"&amp;Config!A19&amp;"'!A2:A100"))+COUNTIF(INDIRECT("'"&amp;Config!A19&amp;"'!J2:J100"),"None"),0))</f>
        <v/>
      </c>
      <c r="C127" t="str">
        <f ca="1">IF(Config!A19="","",IFERROR(COUNTA(INDIRECT("'"&amp;Config!A19&amp;"'!J2:J100"))-COUNTIF(INDIRECT("'"&amp;Config!A19&amp;"'!J2:J100"),"None"),0))</f>
        <v/>
      </c>
      <c r="D127" s="14" t="e">
        <f ca="1">IF(OR(Config!A19="",B127+C127=0),"",IFERROR(C127/(B127+C127),0))</f>
        <v>#VALUE!</v>
      </c>
    </row>
    <row r="128" spans="1:4" x14ac:dyDescent="0.25">
      <c r="A128" t="str">
        <f>IF(Config!A20="","",Config!A20)</f>
        <v/>
      </c>
      <c r="B128" t="str">
        <f ca="1">IF(Config!A20="","",IFERROR(COUNTBLANK(INDIRECT("'"&amp;Config!A20&amp;"'!J2:J100"))-COUNTBLANK(INDIRECT("'"&amp;Config!A20&amp;"'!A2:A100"))+COUNTIF(INDIRECT("'"&amp;Config!A20&amp;"'!J2:J100"),"None"),0))</f>
        <v/>
      </c>
      <c r="C128" t="str">
        <f ca="1">IF(Config!A20="","",IFERROR(COUNTA(INDIRECT("'"&amp;Config!A20&amp;"'!J2:J100"))-COUNTIF(INDIRECT("'"&amp;Config!A20&amp;"'!J2:J100"),"None"),0))</f>
        <v/>
      </c>
      <c r="D128" s="14" t="e">
        <f ca="1">IF(OR(Config!A20="",B128+C128=0),"",IFERROR(C128/(B128+C128),0))</f>
        <v>#VALUE!</v>
      </c>
    </row>
    <row r="129" spans="1:5" x14ac:dyDescent="0.25">
      <c r="A129" t="str">
        <f>IF(Config!A21="","",Config!A21)</f>
        <v/>
      </c>
      <c r="B129" t="str">
        <f ca="1">IF(Config!A21="","",IFERROR(COUNTBLANK(INDIRECT("'"&amp;Config!A21&amp;"'!J2:J100"))-COUNTBLANK(INDIRECT("'"&amp;Config!A21&amp;"'!A2:A100"))+COUNTIF(INDIRECT("'"&amp;Config!A21&amp;"'!J2:J100"),"None"),0))</f>
        <v/>
      </c>
      <c r="C129" t="str">
        <f ca="1">IF(Config!A21="","",IFERROR(COUNTA(INDIRECT("'"&amp;Config!A21&amp;"'!J2:J100"))-COUNTIF(INDIRECT("'"&amp;Config!A21&amp;"'!J2:J100"),"None"),0))</f>
        <v/>
      </c>
      <c r="D129" s="14" t="e">
        <f ca="1">IF(OR(Config!A21="",B129+C129=0),"",IFERROR(C129/(B129+C129),0))</f>
        <v>#VALUE!</v>
      </c>
    </row>
    <row r="130" spans="1:5" x14ac:dyDescent="0.25">
      <c r="A130" t="str">
        <f>IF(Config!A22="","",Config!A22)</f>
        <v/>
      </c>
      <c r="B130" t="str">
        <f ca="1">IF(Config!A22="","",IFERROR(COUNTBLANK(INDIRECT("'"&amp;Config!A22&amp;"'!J2:J100"))-COUNTBLANK(INDIRECT("'"&amp;Config!A22&amp;"'!A2:A100"))+COUNTIF(INDIRECT("'"&amp;Config!A22&amp;"'!J2:J100"),"None"),0))</f>
        <v/>
      </c>
      <c r="C130" t="str">
        <f ca="1">IF(Config!A22="","",IFERROR(COUNTA(INDIRECT("'"&amp;Config!A22&amp;"'!J2:J100"))-COUNTIF(INDIRECT("'"&amp;Config!A22&amp;"'!J2:J100"),"None"),0))</f>
        <v/>
      </c>
      <c r="D130" s="14" t="e">
        <f ca="1">IF(OR(Config!A22="",B130+C130=0),"",IFERROR(C130/(B130+C130),0))</f>
        <v>#VALUE!</v>
      </c>
    </row>
    <row r="131" spans="1:5" x14ac:dyDescent="0.25">
      <c r="A131" t="str">
        <f>IF(Config!A23="","",Config!A23)</f>
        <v/>
      </c>
      <c r="B131" t="str">
        <f ca="1">IF(Config!A23="","",IFERROR(COUNTBLANK(INDIRECT("'"&amp;Config!A23&amp;"'!J2:J100"))-COUNTBLANK(INDIRECT("'"&amp;Config!A23&amp;"'!A2:A100"))+COUNTIF(INDIRECT("'"&amp;Config!A23&amp;"'!J2:J100"),"None"),0))</f>
        <v/>
      </c>
      <c r="C131" t="str">
        <f ca="1">IF(Config!A23="","",IFERROR(COUNTA(INDIRECT("'"&amp;Config!A23&amp;"'!J2:J100"))-COUNTIF(INDIRECT("'"&amp;Config!A23&amp;"'!J2:J100"),"None"),0))</f>
        <v/>
      </c>
      <c r="D131" s="14" t="e">
        <f ca="1">IF(OR(Config!A23="",B131+C131=0),"",IFERROR(C131/(B131+C131),0))</f>
        <v>#VALUE!</v>
      </c>
    </row>
    <row r="132" spans="1:5" x14ac:dyDescent="0.25">
      <c r="A132" s="7" t="s">
        <v>77</v>
      </c>
      <c r="B132">
        <f ca="1">SUM(B112:B131)</f>
        <v>75</v>
      </c>
      <c r="C132">
        <f ca="1">SUM(C112:C131)</f>
        <v>1</v>
      </c>
      <c r="D132" s="14">
        <f ca="1">IFERROR(C132/(B132+C132),0)</f>
        <v>1.3157894736842105E-2</v>
      </c>
    </row>
    <row r="134" spans="1:5" x14ac:dyDescent="0.25">
      <c r="A134" s="13" t="s">
        <v>91</v>
      </c>
      <c r="B134" s="8"/>
      <c r="C134" s="8"/>
      <c r="D134" s="8"/>
      <c r="E134" s="8"/>
    </row>
    <row r="135" spans="1:5" x14ac:dyDescent="0.25">
      <c r="A135" s="7" t="s">
        <v>79</v>
      </c>
      <c r="B135" s="7" t="s">
        <v>92</v>
      </c>
      <c r="C135" s="7" t="s">
        <v>93</v>
      </c>
      <c r="D135" s="7" t="s">
        <v>94</v>
      </c>
      <c r="E135" s="7" t="s">
        <v>95</v>
      </c>
    </row>
    <row r="136" spans="1:5" x14ac:dyDescent="0.25">
      <c r="A136" t="str">
        <f>IF(Config!A4="","",Config!A4)</f>
        <v>ODC Cleanup</v>
      </c>
      <c r="B136" s="6">
        <f ca="1">IF(Config!A4="","",IFERROR(MIN(INDIRECT("'"&amp;Config!A4&amp;"'!I2:I1000")),""))</f>
        <v>46144.99760775832</v>
      </c>
      <c r="C136" s="6">
        <f ca="1">IF(Config!A4="","",IFERROR(MAX(INDIRECT("'"&amp;Config!A4&amp;"'!I2:I1000")),""))</f>
        <v>46144.997607880847</v>
      </c>
      <c r="D136" s="15">
        <f ca="1">IF(Config!A4="","",IFERROR(MIN(INDIRECT("'"&amp;Config!A4&amp;"'!I2:I1000"))-TODAY(),""))</f>
        <v>10.997607758319646</v>
      </c>
      <c r="E136" cm="1">
        <f t="array" aca="1" ref="E136" ca="1">IF(Config!A4="","",IFERROR(SUMPRODUCT((INDIRECT("'"&amp;Config!A4&amp;"'!I2:I1000")&gt;=TODAY())*(INDIRECT("'"&amp;Config!A4&amp;"'!I2:I1000")&lt;=TODAY()+7)*1),0))</f>
        <v>0</v>
      </c>
    </row>
    <row r="137" spans="1:5" x14ac:dyDescent="0.25">
      <c r="A137" t="str">
        <f>IF(Config!A5="","",Config!A5)</f>
        <v>Datastore Reclamation</v>
      </c>
      <c r="B137" s="6">
        <f ca="1">IF(Config!A5="","",IFERROR(MIN(INDIRECT("'"&amp;Config!A5&amp;"'!I2:I1000")),""))</f>
        <v>46144.99760790891</v>
      </c>
      <c r="C137" s="6">
        <f ca="1">IF(Config!A5="","",IFERROR(MAX(INDIRECT("'"&amp;Config!A5&amp;"'!I2:I1000")),""))</f>
        <v>46144.997608043523</v>
      </c>
      <c r="D137" s="15">
        <f ca="1">IF(Config!A5="","",IFERROR(MIN(INDIRECT("'"&amp;Config!A5&amp;"'!I2:I1000"))-TODAY(),""))</f>
        <v>10.99760790891014</v>
      </c>
      <c r="E137" cm="1">
        <f t="array" aca="1" ref="E137" ca="1">IF(Config!A5="","",IFERROR(SUMPRODUCT((INDIRECT("'"&amp;Config!A5&amp;"'!I2:I1000")&gt;=TODAY())*(INDIRECT("'"&amp;Config!A5&amp;"'!I2:I1000")&lt;=TODAY()+7)*1),0))</f>
        <v>0</v>
      </c>
    </row>
    <row r="138" spans="1:5" x14ac:dyDescent="0.25">
      <c r="A138" t="str">
        <f>IF(Config!A6="","",Config!A6)</f>
        <v>Retired VM Cleanup</v>
      </c>
      <c r="B138" s="6">
        <f ca="1">IF(Config!A6="","",IFERROR(MIN(INDIRECT("'"&amp;Config!A6&amp;"'!I2:I1000")),""))</f>
        <v>46144.99760807139</v>
      </c>
      <c r="C138" s="6">
        <f ca="1">IF(Config!A6="","",IFERROR(MAX(INDIRECT("'"&amp;Config!A6&amp;"'!I2:I1000")),""))</f>
        <v>46144.997608195881</v>
      </c>
      <c r="D138" s="15">
        <f ca="1">IF(Config!A6="","",IFERROR(MIN(INDIRECT("'"&amp;Config!A6&amp;"'!I2:I1000"))-TODAY(),""))</f>
        <v>10.99760807138955</v>
      </c>
      <c r="E138" cm="1">
        <f t="array" aca="1" ref="E138" ca="1">IF(Config!A6="","",IFERROR(SUMPRODUCT((INDIRECT("'"&amp;Config!A6&amp;"'!I2:I1000")&gt;=TODAY())*(INDIRECT("'"&amp;Config!A6&amp;"'!I2:I1000")&lt;=TODAY()+7)*1),0))</f>
        <v>0</v>
      </c>
    </row>
    <row r="139" spans="1:5" x14ac:dyDescent="0.25">
      <c r="A139" t="str">
        <f>IF(Config!A7="","",Config!A7)</f>
        <v>Zerto Scripts</v>
      </c>
      <c r="B139" s="6">
        <f ca="1">IF(Config!A7="","",IFERROR(MIN(INDIRECT("'"&amp;Config!A7&amp;"'!I2:I1000")),""))</f>
        <v>46144.997608227022</v>
      </c>
      <c r="C139" s="6">
        <f ca="1">IF(Config!A7="","",IFERROR(MAX(INDIRECT("'"&amp;Config!A7&amp;"'!I2:I1000")),""))</f>
        <v>46144.997608356687</v>
      </c>
      <c r="D139" s="15">
        <f ca="1">IF(Config!A7="","",IFERROR(MIN(INDIRECT("'"&amp;Config!A7&amp;"'!I2:I1000"))-TODAY(),""))</f>
        <v>10.997608227022283</v>
      </c>
      <c r="E139" cm="1">
        <f t="array" aca="1" ref="E139" ca="1">IF(Config!A7="","",IFERROR(SUMPRODUCT((INDIRECT("'"&amp;Config!A7&amp;"'!I2:I1000")&gt;=TODAY())*(INDIRECT("'"&amp;Config!A7&amp;"'!I2:I1000")&lt;=TODAY()+7)*1),0))</f>
        <v>0</v>
      </c>
    </row>
    <row r="140" spans="1:5" x14ac:dyDescent="0.25">
      <c r="A140" t="str">
        <f>IF(Config!A8="","",Config!A8)</f>
        <v/>
      </c>
      <c r="B140" s="6" t="str">
        <f ca="1">IF(Config!A8="","",IFERROR(MIN(INDIRECT("'"&amp;Config!A8&amp;"'!I2:I1000")),""))</f>
        <v/>
      </c>
      <c r="C140" s="6" t="str">
        <f ca="1">IF(Config!A8="","",IFERROR(MAX(INDIRECT("'"&amp;Config!A8&amp;"'!I2:I1000")),""))</f>
        <v/>
      </c>
      <c r="D140" s="15" t="str">
        <f ca="1">IF(Config!A8="","",IFERROR(MIN(INDIRECT("'"&amp;Config!A8&amp;"'!I2:I1000"))-TODAY(),""))</f>
        <v/>
      </c>
      <c r="E140" t="str" cm="1">
        <f t="array" aca="1" ref="E140" ca="1">IF(Config!A8="","",IFERROR(SUMPRODUCT((INDIRECT("'"&amp;Config!A8&amp;"'!I2:I1000")&gt;=TODAY())*(INDIRECT("'"&amp;Config!A8&amp;"'!I2:I1000")&lt;=TODAY()+7)*1),0))</f>
        <v/>
      </c>
    </row>
    <row r="141" spans="1:5" x14ac:dyDescent="0.25">
      <c r="A141" t="str">
        <f>IF(Config!A9="","",Config!A9)</f>
        <v/>
      </c>
      <c r="B141" s="6" t="str">
        <f ca="1">IF(Config!A9="","",IFERROR(MIN(INDIRECT("'"&amp;Config!A9&amp;"'!I2:I1000")),""))</f>
        <v/>
      </c>
      <c r="C141" s="6" t="str">
        <f ca="1">IF(Config!A9="","",IFERROR(MAX(INDIRECT("'"&amp;Config!A9&amp;"'!I2:I1000")),""))</f>
        <v/>
      </c>
      <c r="D141" s="15" t="str">
        <f ca="1">IF(Config!A9="","",IFERROR(MIN(INDIRECT("'"&amp;Config!A9&amp;"'!I2:I1000"))-TODAY(),""))</f>
        <v/>
      </c>
      <c r="E141" t="str" cm="1">
        <f t="array" aca="1" ref="E141" ca="1">IF(Config!A9="","",IFERROR(SUMPRODUCT((INDIRECT("'"&amp;Config!A9&amp;"'!I2:I1000")&gt;=TODAY())*(INDIRECT("'"&amp;Config!A9&amp;"'!I2:I1000")&lt;=TODAY()+7)*1),0))</f>
        <v/>
      </c>
    </row>
    <row r="142" spans="1:5" x14ac:dyDescent="0.25">
      <c r="A142" t="str">
        <f>IF(Config!A10="","",Config!A10)</f>
        <v/>
      </c>
      <c r="B142" s="6" t="str">
        <f ca="1">IF(Config!A10="","",IFERROR(MIN(INDIRECT("'"&amp;Config!A10&amp;"'!I2:I1000")),""))</f>
        <v/>
      </c>
      <c r="C142" s="6" t="str">
        <f ca="1">IF(Config!A10="","",IFERROR(MAX(INDIRECT("'"&amp;Config!A10&amp;"'!I2:I1000")),""))</f>
        <v/>
      </c>
      <c r="D142" s="15" t="str">
        <f ca="1">IF(Config!A10="","",IFERROR(MIN(INDIRECT("'"&amp;Config!A10&amp;"'!I2:I1000"))-TODAY(),""))</f>
        <v/>
      </c>
      <c r="E142" t="str" cm="1">
        <f t="array" aca="1" ref="E142" ca="1">IF(Config!A10="","",IFERROR(SUMPRODUCT((INDIRECT("'"&amp;Config!A10&amp;"'!I2:I1000")&gt;=TODAY())*(INDIRECT("'"&amp;Config!A10&amp;"'!I2:I1000")&lt;=TODAY()+7)*1),0))</f>
        <v/>
      </c>
    </row>
    <row r="143" spans="1:5" x14ac:dyDescent="0.25">
      <c r="A143" t="str">
        <f>IF(Config!A11="","",Config!A11)</f>
        <v/>
      </c>
      <c r="B143" s="6" t="str">
        <f ca="1">IF(Config!A11="","",IFERROR(MIN(INDIRECT("'"&amp;Config!A11&amp;"'!I2:I1000")),""))</f>
        <v/>
      </c>
      <c r="C143" s="6" t="str">
        <f ca="1">IF(Config!A11="","",IFERROR(MAX(INDIRECT("'"&amp;Config!A11&amp;"'!I2:I1000")),""))</f>
        <v/>
      </c>
      <c r="D143" s="15" t="str">
        <f ca="1">IF(Config!A11="","",IFERROR(MIN(INDIRECT("'"&amp;Config!A11&amp;"'!I2:I1000"))-TODAY(),""))</f>
        <v/>
      </c>
      <c r="E143" t="str" cm="1">
        <f t="array" aca="1" ref="E143" ca="1">IF(Config!A11="","",IFERROR(SUMPRODUCT((INDIRECT("'"&amp;Config!A11&amp;"'!I2:I1000")&gt;=TODAY())*(INDIRECT("'"&amp;Config!A11&amp;"'!I2:I1000")&lt;=TODAY()+7)*1),0))</f>
        <v/>
      </c>
    </row>
    <row r="144" spans="1:5" x14ac:dyDescent="0.25">
      <c r="A144" t="str">
        <f>IF(Config!A12="","",Config!A12)</f>
        <v/>
      </c>
      <c r="B144" s="6" t="str">
        <f ca="1">IF(Config!A12="","",IFERROR(MIN(INDIRECT("'"&amp;Config!A12&amp;"'!I2:I1000")),""))</f>
        <v/>
      </c>
      <c r="C144" s="6" t="str">
        <f ca="1">IF(Config!A12="","",IFERROR(MAX(INDIRECT("'"&amp;Config!A12&amp;"'!I2:I1000")),""))</f>
        <v/>
      </c>
      <c r="D144" s="15" t="str">
        <f ca="1">IF(Config!A12="","",IFERROR(MIN(INDIRECT("'"&amp;Config!A12&amp;"'!I2:I1000"))-TODAY(),""))</f>
        <v/>
      </c>
      <c r="E144" t="str" cm="1">
        <f t="array" aca="1" ref="E144" ca="1">IF(Config!A12="","",IFERROR(SUMPRODUCT((INDIRECT("'"&amp;Config!A12&amp;"'!I2:I1000")&gt;=TODAY())*(INDIRECT("'"&amp;Config!A12&amp;"'!I2:I1000")&lt;=TODAY()+7)*1),0))</f>
        <v/>
      </c>
    </row>
    <row r="145" spans="1:5" x14ac:dyDescent="0.25">
      <c r="A145" t="str">
        <f>IF(Config!A13="","",Config!A13)</f>
        <v/>
      </c>
      <c r="B145" s="6" t="str">
        <f ca="1">IF(Config!A13="","",IFERROR(MIN(INDIRECT("'"&amp;Config!A13&amp;"'!I2:I1000")),""))</f>
        <v/>
      </c>
      <c r="C145" s="6" t="str">
        <f ca="1">IF(Config!A13="","",IFERROR(MAX(INDIRECT("'"&amp;Config!A13&amp;"'!I2:I1000")),""))</f>
        <v/>
      </c>
      <c r="D145" s="15" t="str">
        <f ca="1">IF(Config!A13="","",IFERROR(MIN(INDIRECT("'"&amp;Config!A13&amp;"'!I2:I1000"))-TODAY(),""))</f>
        <v/>
      </c>
      <c r="E145" t="str" cm="1">
        <f t="array" aca="1" ref="E145" ca="1">IF(Config!A13="","",IFERROR(SUMPRODUCT((INDIRECT("'"&amp;Config!A13&amp;"'!I2:I1000")&gt;=TODAY())*(INDIRECT("'"&amp;Config!A13&amp;"'!I2:I1000")&lt;=TODAY()+7)*1),0))</f>
        <v/>
      </c>
    </row>
    <row r="146" spans="1:5" x14ac:dyDescent="0.25">
      <c r="A146" t="str">
        <f>IF(Config!A14="","",Config!A14)</f>
        <v/>
      </c>
      <c r="B146" s="6" t="str">
        <f ca="1">IF(Config!A14="","",IFERROR(MIN(INDIRECT("'"&amp;Config!A14&amp;"'!I2:I1000")),""))</f>
        <v/>
      </c>
      <c r="C146" s="6" t="str">
        <f ca="1">IF(Config!A14="","",IFERROR(MAX(INDIRECT("'"&amp;Config!A14&amp;"'!I2:I1000")),""))</f>
        <v/>
      </c>
      <c r="D146" s="15" t="str">
        <f ca="1">IF(Config!A14="","",IFERROR(MIN(INDIRECT("'"&amp;Config!A14&amp;"'!I2:I1000"))-TODAY(),""))</f>
        <v/>
      </c>
      <c r="E146" t="str" cm="1">
        <f t="array" aca="1" ref="E146" ca="1">IF(Config!A14="","",IFERROR(SUMPRODUCT((INDIRECT("'"&amp;Config!A14&amp;"'!I2:I1000")&gt;=TODAY())*(INDIRECT("'"&amp;Config!A14&amp;"'!I2:I1000")&lt;=TODAY()+7)*1),0))</f>
        <v/>
      </c>
    </row>
    <row r="147" spans="1:5" x14ac:dyDescent="0.25">
      <c r="A147" t="str">
        <f>IF(Config!A15="","",Config!A15)</f>
        <v/>
      </c>
      <c r="B147" s="6" t="str">
        <f ca="1">IF(Config!A15="","",IFERROR(MIN(INDIRECT("'"&amp;Config!A15&amp;"'!I2:I1000")),""))</f>
        <v/>
      </c>
      <c r="C147" s="6" t="str">
        <f ca="1">IF(Config!A15="","",IFERROR(MAX(INDIRECT("'"&amp;Config!A15&amp;"'!I2:I1000")),""))</f>
        <v/>
      </c>
      <c r="D147" s="15" t="str">
        <f ca="1">IF(Config!A15="","",IFERROR(MIN(INDIRECT("'"&amp;Config!A15&amp;"'!I2:I1000"))-TODAY(),""))</f>
        <v/>
      </c>
      <c r="E147" t="str" cm="1">
        <f t="array" aca="1" ref="E147" ca="1">IF(Config!A15="","",IFERROR(SUMPRODUCT((INDIRECT("'"&amp;Config!A15&amp;"'!I2:I1000")&gt;=TODAY())*(INDIRECT("'"&amp;Config!A15&amp;"'!I2:I1000")&lt;=TODAY()+7)*1),0))</f>
        <v/>
      </c>
    </row>
    <row r="148" spans="1:5" x14ac:dyDescent="0.25">
      <c r="A148" t="str">
        <f>IF(Config!A16="","",Config!A16)</f>
        <v/>
      </c>
      <c r="B148" s="6" t="str">
        <f ca="1">IF(Config!A16="","",IFERROR(MIN(INDIRECT("'"&amp;Config!A16&amp;"'!I2:I1000")),""))</f>
        <v/>
      </c>
      <c r="C148" s="6" t="str">
        <f ca="1">IF(Config!A16="","",IFERROR(MAX(INDIRECT("'"&amp;Config!A16&amp;"'!I2:I1000")),""))</f>
        <v/>
      </c>
      <c r="D148" s="15" t="str">
        <f ca="1">IF(Config!A16="","",IFERROR(MIN(INDIRECT("'"&amp;Config!A16&amp;"'!I2:I1000"))-TODAY(),""))</f>
        <v/>
      </c>
      <c r="E148" t="str" cm="1">
        <f t="array" aca="1" ref="E148" ca="1">IF(Config!A16="","",IFERROR(SUMPRODUCT((INDIRECT("'"&amp;Config!A16&amp;"'!I2:I1000")&gt;=TODAY())*(INDIRECT("'"&amp;Config!A16&amp;"'!I2:I1000")&lt;=TODAY()+7)*1),0))</f>
        <v/>
      </c>
    </row>
    <row r="149" spans="1:5" x14ac:dyDescent="0.25">
      <c r="A149" t="str">
        <f>IF(Config!A17="","",Config!A17)</f>
        <v/>
      </c>
      <c r="B149" s="6" t="str">
        <f ca="1">IF(Config!A17="","",IFERROR(MIN(INDIRECT("'"&amp;Config!A17&amp;"'!I2:I1000")),""))</f>
        <v/>
      </c>
      <c r="C149" s="6" t="str">
        <f ca="1">IF(Config!A17="","",IFERROR(MAX(INDIRECT("'"&amp;Config!A17&amp;"'!I2:I1000")),""))</f>
        <v/>
      </c>
      <c r="D149" s="15" t="str">
        <f ca="1">IF(Config!A17="","",IFERROR(MIN(INDIRECT("'"&amp;Config!A17&amp;"'!I2:I1000"))-TODAY(),""))</f>
        <v/>
      </c>
      <c r="E149" t="str" cm="1">
        <f t="array" aca="1" ref="E149" ca="1">IF(Config!A17="","",IFERROR(SUMPRODUCT((INDIRECT("'"&amp;Config!A17&amp;"'!I2:I1000")&gt;=TODAY())*(INDIRECT("'"&amp;Config!A17&amp;"'!I2:I1000")&lt;=TODAY()+7)*1),0))</f>
        <v/>
      </c>
    </row>
    <row r="150" spans="1:5" x14ac:dyDescent="0.25">
      <c r="A150" t="str">
        <f>IF(Config!A18="","",Config!A18)</f>
        <v/>
      </c>
      <c r="B150" s="6" t="str">
        <f ca="1">IF(Config!A18="","",IFERROR(MIN(INDIRECT("'"&amp;Config!A18&amp;"'!I2:I1000")),""))</f>
        <v/>
      </c>
      <c r="C150" s="6" t="str">
        <f ca="1">IF(Config!A18="","",IFERROR(MAX(INDIRECT("'"&amp;Config!A18&amp;"'!I2:I1000")),""))</f>
        <v/>
      </c>
      <c r="D150" s="15" t="str">
        <f ca="1">IF(Config!A18="","",IFERROR(MIN(INDIRECT("'"&amp;Config!A18&amp;"'!I2:I1000"))-TODAY(),""))</f>
        <v/>
      </c>
      <c r="E150" t="str" cm="1">
        <f t="array" aca="1" ref="E150" ca="1">IF(Config!A18="","",IFERROR(SUMPRODUCT((INDIRECT("'"&amp;Config!A18&amp;"'!I2:I1000")&gt;=TODAY())*(INDIRECT("'"&amp;Config!A18&amp;"'!I2:I1000")&lt;=TODAY()+7)*1),0))</f>
        <v/>
      </c>
    </row>
    <row r="151" spans="1:5" x14ac:dyDescent="0.25">
      <c r="A151" t="str">
        <f>IF(Config!A19="","",Config!A19)</f>
        <v/>
      </c>
      <c r="B151" s="6" t="str">
        <f ca="1">IF(Config!A19="","",IFERROR(MIN(INDIRECT("'"&amp;Config!A19&amp;"'!I2:I1000")),""))</f>
        <v/>
      </c>
      <c r="C151" s="6" t="str">
        <f ca="1">IF(Config!A19="","",IFERROR(MAX(INDIRECT("'"&amp;Config!A19&amp;"'!I2:I1000")),""))</f>
        <v/>
      </c>
      <c r="D151" s="15" t="str">
        <f ca="1">IF(Config!A19="","",IFERROR(MIN(INDIRECT("'"&amp;Config!A19&amp;"'!I2:I1000"))-TODAY(),""))</f>
        <v/>
      </c>
      <c r="E151" t="str" cm="1">
        <f t="array" aca="1" ref="E151" ca="1">IF(Config!A19="","",IFERROR(SUMPRODUCT((INDIRECT("'"&amp;Config!A19&amp;"'!I2:I1000")&gt;=TODAY())*(INDIRECT("'"&amp;Config!A19&amp;"'!I2:I1000")&lt;=TODAY()+7)*1),0))</f>
        <v/>
      </c>
    </row>
    <row r="152" spans="1:5" x14ac:dyDescent="0.25">
      <c r="A152" t="str">
        <f>IF(Config!A20="","",Config!A20)</f>
        <v/>
      </c>
      <c r="B152" s="6" t="str">
        <f ca="1">IF(Config!A20="","",IFERROR(MIN(INDIRECT("'"&amp;Config!A20&amp;"'!I2:I1000")),""))</f>
        <v/>
      </c>
      <c r="C152" s="6" t="str">
        <f ca="1">IF(Config!A20="","",IFERROR(MAX(INDIRECT("'"&amp;Config!A20&amp;"'!I2:I1000")),""))</f>
        <v/>
      </c>
      <c r="D152" s="15" t="str">
        <f ca="1">IF(Config!A20="","",IFERROR(MIN(INDIRECT("'"&amp;Config!A20&amp;"'!I2:I1000"))-TODAY(),""))</f>
        <v/>
      </c>
      <c r="E152" t="str" cm="1">
        <f t="array" aca="1" ref="E152" ca="1">IF(Config!A20="","",IFERROR(SUMPRODUCT((INDIRECT("'"&amp;Config!A20&amp;"'!I2:I1000")&gt;=TODAY())*(INDIRECT("'"&amp;Config!A20&amp;"'!I2:I1000")&lt;=TODAY()+7)*1),0))</f>
        <v/>
      </c>
    </row>
    <row r="153" spans="1:5" x14ac:dyDescent="0.25">
      <c r="A153" t="str">
        <f>IF(Config!A21="","",Config!A21)</f>
        <v/>
      </c>
      <c r="B153" s="6" t="str">
        <f ca="1">IF(Config!A21="","",IFERROR(MIN(INDIRECT("'"&amp;Config!A21&amp;"'!I2:I1000")),""))</f>
        <v/>
      </c>
      <c r="C153" s="6" t="str">
        <f ca="1">IF(Config!A21="","",IFERROR(MAX(INDIRECT("'"&amp;Config!A21&amp;"'!I2:I1000")),""))</f>
        <v/>
      </c>
      <c r="D153" s="15" t="str">
        <f ca="1">IF(Config!A21="","",IFERROR(MIN(INDIRECT("'"&amp;Config!A21&amp;"'!I2:I1000"))-TODAY(),""))</f>
        <v/>
      </c>
      <c r="E153" t="str" cm="1">
        <f t="array" aca="1" ref="E153" ca="1">IF(Config!A21="","",IFERROR(SUMPRODUCT((INDIRECT("'"&amp;Config!A21&amp;"'!I2:I1000")&gt;=TODAY())*(INDIRECT("'"&amp;Config!A21&amp;"'!I2:I1000")&lt;=TODAY()+7)*1),0))</f>
        <v/>
      </c>
    </row>
    <row r="154" spans="1:5" x14ac:dyDescent="0.25">
      <c r="A154" t="str">
        <f>IF(Config!A22="","",Config!A22)</f>
        <v/>
      </c>
      <c r="B154" s="6" t="str">
        <f ca="1">IF(Config!A22="","",IFERROR(MIN(INDIRECT("'"&amp;Config!A22&amp;"'!I2:I1000")),""))</f>
        <v/>
      </c>
      <c r="C154" s="6" t="str">
        <f ca="1">IF(Config!A22="","",IFERROR(MAX(INDIRECT("'"&amp;Config!A22&amp;"'!I2:I1000")),""))</f>
        <v/>
      </c>
      <c r="D154" s="15" t="str">
        <f ca="1">IF(Config!A22="","",IFERROR(MIN(INDIRECT("'"&amp;Config!A22&amp;"'!I2:I1000"))-TODAY(),""))</f>
        <v/>
      </c>
      <c r="E154" t="str" cm="1">
        <f t="array" aca="1" ref="E154" ca="1">IF(Config!A22="","",IFERROR(SUMPRODUCT((INDIRECT("'"&amp;Config!A22&amp;"'!I2:I1000")&gt;=TODAY())*(INDIRECT("'"&amp;Config!A22&amp;"'!I2:I1000")&lt;=TODAY()+7)*1),0))</f>
        <v/>
      </c>
    </row>
    <row r="155" spans="1:5" x14ac:dyDescent="0.25">
      <c r="A155" t="str">
        <f>IF(Config!A23="","",Config!A23)</f>
        <v/>
      </c>
      <c r="B155" s="6" t="str">
        <f ca="1">IF(Config!A23="","",IFERROR(MIN(INDIRECT("'"&amp;Config!A23&amp;"'!I2:I1000")),""))</f>
        <v/>
      </c>
      <c r="C155" s="6" t="str">
        <f ca="1">IF(Config!A23="","",IFERROR(MAX(INDIRECT("'"&amp;Config!A23&amp;"'!I2:I1000")),""))</f>
        <v/>
      </c>
      <c r="D155" s="15" t="str">
        <f ca="1">IF(Config!A23="","",IFERROR(MIN(INDIRECT("'"&amp;Config!A23&amp;"'!I2:I1000"))-TODAY(),""))</f>
        <v/>
      </c>
      <c r="E155" t="str" cm="1">
        <f t="array" aca="1" ref="E155" ca="1">IF(Config!A23="","",IFERROR(SUMPRODUCT((INDIRECT("'"&amp;Config!A23&amp;"'!I2:I1000")&gt;=TODAY())*(INDIRECT("'"&amp;Config!A23&amp;"'!I2:I1000")&lt;=TODAY()+7)*1),0))</f>
        <v/>
      </c>
    </row>
    <row r="156" spans="1:5" x14ac:dyDescent="0.25">
      <c r="A156" s="7" t="s">
        <v>96</v>
      </c>
      <c r="B156" s="6">
        <f ca="1">MIN(B136:B155)</f>
        <v>46144.99760775832</v>
      </c>
      <c r="C156" s="6">
        <f ca="1">MAX(C136:C155)</f>
        <v>46144.997608356687</v>
      </c>
      <c r="D156" s="15">
        <f ca="1">MIN(D136:D155)</f>
        <v>10.997607758319646</v>
      </c>
      <c r="E156">
        <f ca="1">SUM(E136:E155)</f>
        <v>0</v>
      </c>
    </row>
    <row r="158" spans="1:5" x14ac:dyDescent="0.25">
      <c r="A158" s="13" t="s">
        <v>97</v>
      </c>
      <c r="B158" s="8"/>
      <c r="C158" s="8"/>
      <c r="D158" s="8"/>
      <c r="E158" s="8"/>
    </row>
    <row r="159" spans="1:5" x14ac:dyDescent="0.25">
      <c r="A159" s="7" t="s">
        <v>79</v>
      </c>
      <c r="B159" s="7" t="s">
        <v>11</v>
      </c>
      <c r="C159" s="7" t="s">
        <v>12</v>
      </c>
      <c r="D159" s="7" t="s">
        <v>14</v>
      </c>
      <c r="E159" s="7" t="s">
        <v>98</v>
      </c>
    </row>
    <row r="160" spans="1:5" x14ac:dyDescent="0.25">
      <c r="A160" t="str">
        <f>IF(Config!A4="","",Config!A4)</f>
        <v>ODC Cleanup</v>
      </c>
      <c r="B160">
        <f ca="1">IF(Config!A4="","",IFERROR(COUNTIF(INDIRECT("'"&amp;Config!A4&amp;"'!E2:E1000"),"High"),0))</f>
        <v>0</v>
      </c>
      <c r="C160">
        <f ca="1">IF(Config!A4="","",IFERROR(COUNTIF(INDIRECT("'"&amp;Config!A4&amp;"'!E2:E1000"),"Medium"),0))</f>
        <v>18</v>
      </c>
      <c r="D160">
        <f ca="1">IF(Config!A4="","",IFERROR(COUNTIF(INDIRECT("'"&amp;Config!A4&amp;"'!E2:E1000"),"Low"),0))</f>
        <v>1</v>
      </c>
      <c r="E160" s="14">
        <f ca="1">IF(Config!A4="","",IFERROR(COUNTIF(INDIRECT("'"&amp;Config!A4&amp;"'!E2:E1000"),"High")/COUNTA(INDIRECT("'"&amp;Config!A4&amp;"'!E2:E1000")),0))</f>
        <v>0</v>
      </c>
    </row>
    <row r="161" spans="1:5" x14ac:dyDescent="0.25">
      <c r="A161" t="str">
        <f>IF(Config!A5="","",Config!A5)</f>
        <v>Datastore Reclamation</v>
      </c>
      <c r="B161">
        <f ca="1">IF(Config!A5="","",IFERROR(COUNTIF(INDIRECT("'"&amp;Config!A5&amp;"'!E2:E1000"),"High"),0))</f>
        <v>0</v>
      </c>
      <c r="C161">
        <f ca="1">IF(Config!A5="","",IFERROR(COUNTIF(INDIRECT("'"&amp;Config!A5&amp;"'!E2:E1000"),"Medium"),0))</f>
        <v>19</v>
      </c>
      <c r="D161">
        <f ca="1">IF(Config!A5="","",IFERROR(COUNTIF(INDIRECT("'"&amp;Config!A5&amp;"'!E2:E1000"),"Low"),0))</f>
        <v>0</v>
      </c>
      <c r="E161" s="14">
        <f ca="1">IF(Config!A5="","",IFERROR(COUNTIF(INDIRECT("'"&amp;Config!A5&amp;"'!E2:E1000"),"High")/COUNTA(INDIRECT("'"&amp;Config!A5&amp;"'!E2:E1000")),0))</f>
        <v>0</v>
      </c>
    </row>
    <row r="162" spans="1:5" x14ac:dyDescent="0.25">
      <c r="A162" t="str">
        <f>IF(Config!A6="","",Config!A6)</f>
        <v>Retired VM Cleanup</v>
      </c>
      <c r="B162">
        <f ca="1">IF(Config!A6="","",IFERROR(COUNTIF(INDIRECT("'"&amp;Config!A6&amp;"'!E2:E1000"),"High"),0))</f>
        <v>0</v>
      </c>
      <c r="C162">
        <f ca="1">IF(Config!A6="","",IFERROR(COUNTIF(INDIRECT("'"&amp;Config!A6&amp;"'!E2:E1000"),"Medium"),0))</f>
        <v>19</v>
      </c>
      <c r="D162">
        <f ca="1">IF(Config!A6="","",IFERROR(COUNTIF(INDIRECT("'"&amp;Config!A6&amp;"'!E2:E1000"),"Low"),0))</f>
        <v>0</v>
      </c>
      <c r="E162" s="14">
        <f ca="1">IF(Config!A6="","",IFERROR(COUNTIF(INDIRECT("'"&amp;Config!A6&amp;"'!E2:E1000"),"High")/COUNTA(INDIRECT("'"&amp;Config!A6&amp;"'!E2:E1000")),0))</f>
        <v>0</v>
      </c>
    </row>
    <row r="163" spans="1:5" x14ac:dyDescent="0.25">
      <c r="A163" t="str">
        <f>IF(Config!A7="","",Config!A7)</f>
        <v>Zerto Scripts</v>
      </c>
      <c r="B163">
        <f ca="1">IF(Config!A7="","",IFERROR(COUNTIF(INDIRECT("'"&amp;Config!A7&amp;"'!E2:E1000"),"High"),0))</f>
        <v>0</v>
      </c>
      <c r="C163">
        <f ca="1">IF(Config!A7="","",IFERROR(COUNTIF(INDIRECT("'"&amp;Config!A7&amp;"'!E2:E1000"),"Medium"),0))</f>
        <v>19</v>
      </c>
      <c r="D163">
        <f ca="1">IF(Config!A7="","",IFERROR(COUNTIF(INDIRECT("'"&amp;Config!A7&amp;"'!E2:E1000"),"Low"),0))</f>
        <v>0</v>
      </c>
      <c r="E163" s="14">
        <f ca="1">IF(Config!A7="","",IFERROR(COUNTIF(INDIRECT("'"&amp;Config!A7&amp;"'!E2:E1000"),"High")/COUNTA(INDIRECT("'"&amp;Config!A7&amp;"'!E2:E1000")),0))</f>
        <v>0</v>
      </c>
    </row>
    <row r="164" spans="1:5" x14ac:dyDescent="0.25">
      <c r="A164" t="str">
        <f>IF(Config!A8="","",Config!A8)</f>
        <v/>
      </c>
      <c r="B164" t="str">
        <f ca="1">IF(Config!A8="","",IFERROR(COUNTIF(INDIRECT("'"&amp;Config!A8&amp;"'!E2:E1000"),"High"),0))</f>
        <v/>
      </c>
      <c r="C164" t="str">
        <f ca="1">IF(Config!A8="","",IFERROR(COUNTIF(INDIRECT("'"&amp;Config!A8&amp;"'!E2:E1000"),"Medium"),0))</f>
        <v/>
      </c>
      <c r="D164" t="str">
        <f ca="1">IF(Config!A8="","",IFERROR(COUNTIF(INDIRECT("'"&amp;Config!A8&amp;"'!E2:E1000"),"Low"),0))</f>
        <v/>
      </c>
      <c r="E164" s="14" t="str">
        <f ca="1">IF(Config!A8="","",IFERROR(COUNTIF(INDIRECT("'"&amp;Config!A8&amp;"'!E2:E1000"),"High")/COUNTA(INDIRECT("'"&amp;Config!A8&amp;"'!E2:E1000")),0))</f>
        <v/>
      </c>
    </row>
    <row r="165" spans="1:5" x14ac:dyDescent="0.25">
      <c r="A165" t="str">
        <f>IF(Config!A9="","",Config!A9)</f>
        <v/>
      </c>
      <c r="B165" t="str">
        <f ca="1">IF(Config!A9="","",IFERROR(COUNTIF(INDIRECT("'"&amp;Config!A9&amp;"'!E2:E1000"),"High"),0))</f>
        <v/>
      </c>
      <c r="C165" t="str">
        <f ca="1">IF(Config!A9="","",IFERROR(COUNTIF(INDIRECT("'"&amp;Config!A9&amp;"'!E2:E1000"),"Medium"),0))</f>
        <v/>
      </c>
      <c r="D165" t="str">
        <f ca="1">IF(Config!A9="","",IFERROR(COUNTIF(INDIRECT("'"&amp;Config!A9&amp;"'!E2:E1000"),"Low"),0))</f>
        <v/>
      </c>
      <c r="E165" s="14" t="str">
        <f ca="1">IF(Config!A9="","",IFERROR(COUNTIF(INDIRECT("'"&amp;Config!A9&amp;"'!E2:E1000"),"High")/COUNTA(INDIRECT("'"&amp;Config!A9&amp;"'!E2:E1000")),0))</f>
        <v/>
      </c>
    </row>
    <row r="166" spans="1:5" x14ac:dyDescent="0.25">
      <c r="A166" t="str">
        <f>IF(Config!A10="","",Config!A10)</f>
        <v/>
      </c>
      <c r="B166" t="str">
        <f ca="1">IF(Config!A10="","",IFERROR(COUNTIF(INDIRECT("'"&amp;Config!A10&amp;"'!E2:E1000"),"High"),0))</f>
        <v/>
      </c>
      <c r="C166" t="str">
        <f ca="1">IF(Config!A10="","",IFERROR(COUNTIF(INDIRECT("'"&amp;Config!A10&amp;"'!E2:E1000"),"Medium"),0))</f>
        <v/>
      </c>
      <c r="D166" t="str">
        <f ca="1">IF(Config!A10="","",IFERROR(COUNTIF(INDIRECT("'"&amp;Config!A10&amp;"'!E2:E1000"),"Low"),0))</f>
        <v/>
      </c>
      <c r="E166" s="14" t="str">
        <f ca="1">IF(Config!A10="","",IFERROR(COUNTIF(INDIRECT("'"&amp;Config!A10&amp;"'!E2:E1000"),"High")/COUNTA(INDIRECT("'"&amp;Config!A10&amp;"'!E2:E1000")),0))</f>
        <v/>
      </c>
    </row>
    <row r="167" spans="1:5" x14ac:dyDescent="0.25">
      <c r="A167" t="str">
        <f>IF(Config!A11="","",Config!A11)</f>
        <v/>
      </c>
      <c r="B167" t="str">
        <f ca="1">IF(Config!A11="","",IFERROR(COUNTIF(INDIRECT("'"&amp;Config!A11&amp;"'!E2:E1000"),"High"),0))</f>
        <v/>
      </c>
      <c r="C167" t="str">
        <f ca="1">IF(Config!A11="","",IFERROR(COUNTIF(INDIRECT("'"&amp;Config!A11&amp;"'!E2:E1000"),"Medium"),0))</f>
        <v/>
      </c>
      <c r="D167" t="str">
        <f ca="1">IF(Config!A11="","",IFERROR(COUNTIF(INDIRECT("'"&amp;Config!A11&amp;"'!E2:E1000"),"Low"),0))</f>
        <v/>
      </c>
      <c r="E167" s="14" t="str">
        <f ca="1">IF(Config!A11="","",IFERROR(COUNTIF(INDIRECT("'"&amp;Config!A11&amp;"'!E2:E1000"),"High")/COUNTA(INDIRECT("'"&amp;Config!A11&amp;"'!E2:E1000")),0))</f>
        <v/>
      </c>
    </row>
    <row r="168" spans="1:5" x14ac:dyDescent="0.25">
      <c r="A168" t="str">
        <f>IF(Config!A12="","",Config!A12)</f>
        <v/>
      </c>
      <c r="B168" t="str">
        <f ca="1">IF(Config!A12="","",IFERROR(COUNTIF(INDIRECT("'"&amp;Config!A12&amp;"'!E2:E1000"),"High"),0))</f>
        <v/>
      </c>
      <c r="C168" t="str">
        <f ca="1">IF(Config!A12="","",IFERROR(COUNTIF(INDIRECT("'"&amp;Config!A12&amp;"'!E2:E1000"),"Medium"),0))</f>
        <v/>
      </c>
      <c r="D168" t="str">
        <f ca="1">IF(Config!A12="","",IFERROR(COUNTIF(INDIRECT("'"&amp;Config!A12&amp;"'!E2:E1000"),"Low"),0))</f>
        <v/>
      </c>
      <c r="E168" s="14" t="str">
        <f ca="1">IF(Config!A12="","",IFERROR(COUNTIF(INDIRECT("'"&amp;Config!A12&amp;"'!E2:E1000"),"High")/COUNTA(INDIRECT("'"&amp;Config!A12&amp;"'!E2:E1000")),0))</f>
        <v/>
      </c>
    </row>
    <row r="169" spans="1:5" x14ac:dyDescent="0.25">
      <c r="A169" t="str">
        <f>IF(Config!A13="","",Config!A13)</f>
        <v/>
      </c>
      <c r="B169" t="str">
        <f ca="1">IF(Config!A13="","",IFERROR(COUNTIF(INDIRECT("'"&amp;Config!A13&amp;"'!E2:E1000"),"High"),0))</f>
        <v/>
      </c>
      <c r="C169" t="str">
        <f ca="1">IF(Config!A13="","",IFERROR(COUNTIF(INDIRECT("'"&amp;Config!A13&amp;"'!E2:E1000"),"Medium"),0))</f>
        <v/>
      </c>
      <c r="D169" t="str">
        <f ca="1">IF(Config!A13="","",IFERROR(COUNTIF(INDIRECT("'"&amp;Config!A13&amp;"'!E2:E1000"),"Low"),0))</f>
        <v/>
      </c>
      <c r="E169" s="14" t="str">
        <f ca="1">IF(Config!A13="","",IFERROR(COUNTIF(INDIRECT("'"&amp;Config!A13&amp;"'!E2:E1000"),"High")/COUNTA(INDIRECT("'"&amp;Config!A13&amp;"'!E2:E1000")),0))</f>
        <v/>
      </c>
    </row>
    <row r="170" spans="1:5" x14ac:dyDescent="0.25">
      <c r="A170" t="str">
        <f>IF(Config!A14="","",Config!A14)</f>
        <v/>
      </c>
      <c r="B170" t="str">
        <f ca="1">IF(Config!A14="","",IFERROR(COUNTIF(INDIRECT("'"&amp;Config!A14&amp;"'!E2:E1000"),"High"),0))</f>
        <v/>
      </c>
      <c r="C170" t="str">
        <f ca="1">IF(Config!A14="","",IFERROR(COUNTIF(INDIRECT("'"&amp;Config!A14&amp;"'!E2:E1000"),"Medium"),0))</f>
        <v/>
      </c>
      <c r="D170" t="str">
        <f ca="1">IF(Config!A14="","",IFERROR(COUNTIF(INDIRECT("'"&amp;Config!A14&amp;"'!E2:E1000"),"Low"),0))</f>
        <v/>
      </c>
      <c r="E170" s="14" t="str">
        <f ca="1">IF(Config!A14="","",IFERROR(COUNTIF(INDIRECT("'"&amp;Config!A14&amp;"'!E2:E1000"),"High")/COUNTA(INDIRECT("'"&amp;Config!A14&amp;"'!E2:E1000")),0))</f>
        <v/>
      </c>
    </row>
    <row r="171" spans="1:5" x14ac:dyDescent="0.25">
      <c r="A171" t="str">
        <f>IF(Config!A15="","",Config!A15)</f>
        <v/>
      </c>
      <c r="B171" t="str">
        <f ca="1">IF(Config!A15="","",IFERROR(COUNTIF(INDIRECT("'"&amp;Config!A15&amp;"'!E2:E1000"),"High"),0))</f>
        <v/>
      </c>
      <c r="C171" t="str">
        <f ca="1">IF(Config!A15="","",IFERROR(COUNTIF(INDIRECT("'"&amp;Config!A15&amp;"'!E2:E1000"),"Medium"),0))</f>
        <v/>
      </c>
      <c r="D171" t="str">
        <f ca="1">IF(Config!A15="","",IFERROR(COUNTIF(INDIRECT("'"&amp;Config!A15&amp;"'!E2:E1000"),"Low"),0))</f>
        <v/>
      </c>
      <c r="E171" s="14" t="str">
        <f ca="1">IF(Config!A15="","",IFERROR(COUNTIF(INDIRECT("'"&amp;Config!A15&amp;"'!E2:E1000"),"High")/COUNTA(INDIRECT("'"&amp;Config!A15&amp;"'!E2:E1000")),0))</f>
        <v/>
      </c>
    </row>
    <row r="172" spans="1:5" x14ac:dyDescent="0.25">
      <c r="A172" t="str">
        <f>IF(Config!A16="","",Config!A16)</f>
        <v/>
      </c>
      <c r="B172" t="str">
        <f ca="1">IF(Config!A16="","",IFERROR(COUNTIF(INDIRECT("'"&amp;Config!A16&amp;"'!E2:E1000"),"High"),0))</f>
        <v/>
      </c>
      <c r="C172" t="str">
        <f ca="1">IF(Config!A16="","",IFERROR(COUNTIF(INDIRECT("'"&amp;Config!A16&amp;"'!E2:E1000"),"Medium"),0))</f>
        <v/>
      </c>
      <c r="D172" t="str">
        <f ca="1">IF(Config!A16="","",IFERROR(COUNTIF(INDIRECT("'"&amp;Config!A16&amp;"'!E2:E1000"),"Low"),0))</f>
        <v/>
      </c>
      <c r="E172" s="14" t="str">
        <f ca="1">IF(Config!A16="","",IFERROR(COUNTIF(INDIRECT("'"&amp;Config!A16&amp;"'!E2:E1000"),"High")/COUNTA(INDIRECT("'"&amp;Config!A16&amp;"'!E2:E1000")),0))</f>
        <v/>
      </c>
    </row>
    <row r="173" spans="1:5" x14ac:dyDescent="0.25">
      <c r="A173" t="str">
        <f>IF(Config!A17="","",Config!A17)</f>
        <v/>
      </c>
      <c r="B173" t="str">
        <f ca="1">IF(Config!A17="","",IFERROR(COUNTIF(INDIRECT("'"&amp;Config!A17&amp;"'!E2:E1000"),"High"),0))</f>
        <v/>
      </c>
      <c r="C173" t="str">
        <f ca="1">IF(Config!A17="","",IFERROR(COUNTIF(INDIRECT("'"&amp;Config!A17&amp;"'!E2:E1000"),"Medium"),0))</f>
        <v/>
      </c>
      <c r="D173" t="str">
        <f ca="1">IF(Config!A17="","",IFERROR(COUNTIF(INDIRECT("'"&amp;Config!A17&amp;"'!E2:E1000"),"Low"),0))</f>
        <v/>
      </c>
      <c r="E173" s="14" t="str">
        <f ca="1">IF(Config!A17="","",IFERROR(COUNTIF(INDIRECT("'"&amp;Config!A17&amp;"'!E2:E1000"),"High")/COUNTA(INDIRECT("'"&amp;Config!A17&amp;"'!E2:E1000")),0))</f>
        <v/>
      </c>
    </row>
    <row r="174" spans="1:5" x14ac:dyDescent="0.25">
      <c r="A174" t="str">
        <f>IF(Config!A18="","",Config!A18)</f>
        <v/>
      </c>
      <c r="B174" t="str">
        <f ca="1">IF(Config!A18="","",IFERROR(COUNTIF(INDIRECT("'"&amp;Config!A18&amp;"'!E2:E1000"),"High"),0))</f>
        <v/>
      </c>
      <c r="C174" t="str">
        <f ca="1">IF(Config!A18="","",IFERROR(COUNTIF(INDIRECT("'"&amp;Config!A18&amp;"'!E2:E1000"),"Medium"),0))</f>
        <v/>
      </c>
      <c r="D174" t="str">
        <f ca="1">IF(Config!A18="","",IFERROR(COUNTIF(INDIRECT("'"&amp;Config!A18&amp;"'!E2:E1000"),"Low"),0))</f>
        <v/>
      </c>
      <c r="E174" s="14" t="str">
        <f ca="1">IF(Config!A18="","",IFERROR(COUNTIF(INDIRECT("'"&amp;Config!A18&amp;"'!E2:E1000"),"High")/COUNTA(INDIRECT("'"&amp;Config!A18&amp;"'!E2:E1000")),0))</f>
        <v/>
      </c>
    </row>
    <row r="175" spans="1:5" x14ac:dyDescent="0.25">
      <c r="A175" t="str">
        <f>IF(Config!A19="","",Config!A19)</f>
        <v/>
      </c>
      <c r="B175" t="str">
        <f ca="1">IF(Config!A19="","",IFERROR(COUNTIF(INDIRECT("'"&amp;Config!A19&amp;"'!E2:E1000"),"High"),0))</f>
        <v/>
      </c>
      <c r="C175" t="str">
        <f ca="1">IF(Config!A19="","",IFERROR(COUNTIF(INDIRECT("'"&amp;Config!A19&amp;"'!E2:E1000"),"Medium"),0))</f>
        <v/>
      </c>
      <c r="D175" t="str">
        <f ca="1">IF(Config!A19="","",IFERROR(COUNTIF(INDIRECT("'"&amp;Config!A19&amp;"'!E2:E1000"),"Low"),0))</f>
        <v/>
      </c>
      <c r="E175" s="14" t="str">
        <f ca="1">IF(Config!A19="","",IFERROR(COUNTIF(INDIRECT("'"&amp;Config!A19&amp;"'!E2:E1000"),"High")/COUNTA(INDIRECT("'"&amp;Config!A19&amp;"'!E2:E1000")),0))</f>
        <v/>
      </c>
    </row>
    <row r="176" spans="1:5" x14ac:dyDescent="0.25">
      <c r="A176" t="str">
        <f>IF(Config!A20="","",Config!A20)</f>
        <v/>
      </c>
      <c r="B176" t="str">
        <f ca="1">IF(Config!A20="","",IFERROR(COUNTIF(INDIRECT("'"&amp;Config!A20&amp;"'!E2:E1000"),"High"),0))</f>
        <v/>
      </c>
      <c r="C176" t="str">
        <f ca="1">IF(Config!A20="","",IFERROR(COUNTIF(INDIRECT("'"&amp;Config!A20&amp;"'!E2:E1000"),"Medium"),0))</f>
        <v/>
      </c>
      <c r="D176" t="str">
        <f ca="1">IF(Config!A20="","",IFERROR(COUNTIF(INDIRECT("'"&amp;Config!A20&amp;"'!E2:E1000"),"Low"),0))</f>
        <v/>
      </c>
      <c r="E176" s="14" t="str">
        <f ca="1">IF(Config!A20="","",IFERROR(COUNTIF(INDIRECT("'"&amp;Config!A20&amp;"'!E2:E1000"),"High")/COUNTA(INDIRECT("'"&amp;Config!A20&amp;"'!E2:E1000")),0))</f>
        <v/>
      </c>
    </row>
    <row r="177" spans="1:7" x14ac:dyDescent="0.25">
      <c r="A177" t="str">
        <f>IF(Config!A21="","",Config!A21)</f>
        <v/>
      </c>
      <c r="B177" t="str">
        <f ca="1">IF(Config!A21="","",IFERROR(COUNTIF(INDIRECT("'"&amp;Config!A21&amp;"'!E2:E1000"),"High"),0))</f>
        <v/>
      </c>
      <c r="C177" t="str">
        <f ca="1">IF(Config!A21="","",IFERROR(COUNTIF(INDIRECT("'"&amp;Config!A21&amp;"'!E2:E1000"),"Medium"),0))</f>
        <v/>
      </c>
      <c r="D177" t="str">
        <f ca="1">IF(Config!A21="","",IFERROR(COUNTIF(INDIRECT("'"&amp;Config!A21&amp;"'!E2:E1000"),"Low"),0))</f>
        <v/>
      </c>
      <c r="E177" s="14" t="str">
        <f ca="1">IF(Config!A21="","",IFERROR(COUNTIF(INDIRECT("'"&amp;Config!A21&amp;"'!E2:E1000"),"High")/COUNTA(INDIRECT("'"&amp;Config!A21&amp;"'!E2:E1000")),0))</f>
        <v/>
      </c>
    </row>
    <row r="178" spans="1:7" x14ac:dyDescent="0.25">
      <c r="A178" t="str">
        <f>IF(Config!A22="","",Config!A22)</f>
        <v/>
      </c>
      <c r="B178" t="str">
        <f ca="1">IF(Config!A22="","",IFERROR(COUNTIF(INDIRECT("'"&amp;Config!A22&amp;"'!E2:E1000"),"High"),0))</f>
        <v/>
      </c>
      <c r="C178" t="str">
        <f ca="1">IF(Config!A22="","",IFERROR(COUNTIF(INDIRECT("'"&amp;Config!A22&amp;"'!E2:E1000"),"Medium"),0))</f>
        <v/>
      </c>
      <c r="D178" t="str">
        <f ca="1">IF(Config!A22="","",IFERROR(COUNTIF(INDIRECT("'"&amp;Config!A22&amp;"'!E2:E1000"),"Low"),0))</f>
        <v/>
      </c>
      <c r="E178" s="14" t="str">
        <f ca="1">IF(Config!A22="","",IFERROR(COUNTIF(INDIRECT("'"&amp;Config!A22&amp;"'!E2:E1000"),"High")/COUNTA(INDIRECT("'"&amp;Config!A22&amp;"'!E2:E1000")),0))</f>
        <v/>
      </c>
    </row>
    <row r="179" spans="1:7" x14ac:dyDescent="0.25">
      <c r="A179" t="str">
        <f>IF(Config!A23="","",Config!A23)</f>
        <v/>
      </c>
      <c r="B179" t="str">
        <f ca="1">IF(Config!A23="","",IFERROR(COUNTIF(INDIRECT("'"&amp;Config!A23&amp;"'!E2:E1000"),"High"),0))</f>
        <v/>
      </c>
      <c r="C179" t="str">
        <f ca="1">IF(Config!A23="","",IFERROR(COUNTIF(INDIRECT("'"&amp;Config!A23&amp;"'!E2:E1000"),"Medium"),0))</f>
        <v/>
      </c>
      <c r="D179" t="str">
        <f ca="1">IF(Config!A23="","",IFERROR(COUNTIF(INDIRECT("'"&amp;Config!A23&amp;"'!E2:E1000"),"Low"),0))</f>
        <v/>
      </c>
      <c r="E179" s="14" t="str">
        <f ca="1">IF(Config!A23="","",IFERROR(COUNTIF(INDIRECT("'"&amp;Config!A23&amp;"'!E2:E1000"),"High")/COUNTA(INDIRECT("'"&amp;Config!A23&amp;"'!E2:E1000")),0))</f>
        <v/>
      </c>
    </row>
    <row r="180" spans="1:7" x14ac:dyDescent="0.25">
      <c r="A180" s="7" t="s">
        <v>77</v>
      </c>
      <c r="B180">
        <f ca="1">SUM(B160:B179)</f>
        <v>0</v>
      </c>
      <c r="C180">
        <f ca="1">SUM(C160:C179)</f>
        <v>75</v>
      </c>
      <c r="D180">
        <f ca="1">SUM(D160:D179)</f>
        <v>1</v>
      </c>
      <c r="E180" s="14">
        <f ca="1">IFERROR(B180/(B180+C180+D180),0)</f>
        <v>0</v>
      </c>
    </row>
    <row r="182" spans="1:7" x14ac:dyDescent="0.25">
      <c r="A182" s="13" t="s">
        <v>100</v>
      </c>
      <c r="B182" s="8"/>
      <c r="C182" s="8"/>
      <c r="D182" s="8"/>
      <c r="E182" s="8"/>
      <c r="F182" s="8"/>
      <c r="G182" s="8"/>
    </row>
    <row r="183" spans="1:7" x14ac:dyDescent="0.25">
      <c r="A183" s="7" t="s">
        <v>101</v>
      </c>
      <c r="B183" s="7" t="s">
        <v>5</v>
      </c>
      <c r="C183" s="7" t="s">
        <v>3</v>
      </c>
      <c r="D183" s="7" t="s">
        <v>2</v>
      </c>
      <c r="E183" s="7" t="s">
        <v>4</v>
      </c>
      <c r="F183" s="7" t="s">
        <v>102</v>
      </c>
    </row>
    <row r="184" spans="1:7" x14ac:dyDescent="0.25">
      <c r="A184" t="s">
        <v>28</v>
      </c>
      <c r="B184">
        <f>COUNTIFS('ODC Cleanup'!C:C,"Planning",'ODC Cleanup'!B:B,"Not Started")+COUNTIFS('Datastore Reclamation'!C:C,"Planning",'Datastore Reclamation'!B:B,"Not Started")+COUNTIFS('Retired VM Cleanup'!C:C,"Planning",'Retired VM Cleanup'!B:B,"Not Started")+COUNTIFS('Zerto Scripts'!C:C,"Planning",'Zerto Scripts'!B:B,"Not Started")</f>
        <v>16</v>
      </c>
      <c r="C184">
        <f>COUNTIFS('ODC Cleanup'!C:C,"Planning",'ODC Cleanup'!B:B,"In Progress")+COUNTIFS('Datastore Reclamation'!C:C,"Planning",'Datastore Reclamation'!B:B,"In Progress")+COUNTIFS('Retired VM Cleanup'!C:C,"Planning",'Retired VM Cleanup'!B:B,"In Progress")+COUNTIFS('Zerto Scripts'!C:C,"Planning",'Zerto Scripts'!B:B,"In Progress")</f>
        <v>0</v>
      </c>
      <c r="D184">
        <f>COUNTIFS('ODC Cleanup'!C:C,"Planning",'ODC Cleanup'!B:B,"Completed")+COUNTIFS('Datastore Reclamation'!C:C,"Planning",'Datastore Reclamation'!B:B,"Completed")+COUNTIFS('Retired VM Cleanup'!C:C,"Planning",'Retired VM Cleanup'!B:B,"Completed")+COUNTIFS('Zerto Scripts'!C:C,"Planning",'Zerto Scripts'!B:B,"Completed")</f>
        <v>0</v>
      </c>
      <c r="E184">
        <f>COUNTIFS('ODC Cleanup'!C:C,"Planning",'ODC Cleanup'!B:B,"Overdue")+COUNTIFS('Datastore Reclamation'!C:C,"Planning",'Datastore Reclamation'!B:B,"Overdue")+COUNTIFS('Retired VM Cleanup'!C:C,"Planning",'Retired VM Cleanup'!B:B,"Overdue")+COUNTIFS('Zerto Scripts'!C:C,"Planning",'Zerto Scripts'!B:B,"Overdue")</f>
        <v>0</v>
      </c>
      <c r="F184">
        <f>SUM(B184:E184)</f>
        <v>16</v>
      </c>
    </row>
    <row r="185" spans="1:7" x14ac:dyDescent="0.25">
      <c r="A185" t="s">
        <v>36</v>
      </c>
      <c r="B185">
        <f>COUNTIFS('ODC Cleanup'!C:C,"Requirements",'ODC Cleanup'!B:B,"Not Started")+COUNTIFS('Datastore Reclamation'!C:C,"Requirements",'Datastore Reclamation'!B:B,"Not Started")+COUNTIFS('Retired VM Cleanup'!C:C,"Requirements",'Retired VM Cleanup'!B:B,"Not Started")+COUNTIFS('Zerto Scripts'!C:C,"Requirements",'Zerto Scripts'!B:B,"Not Started")</f>
        <v>20</v>
      </c>
      <c r="C185">
        <f>COUNTIFS('ODC Cleanup'!C:C,"Requirements",'ODC Cleanup'!B:B,"In Progress")+COUNTIFS('Datastore Reclamation'!C:C,"Requirements",'Datastore Reclamation'!B:B,"In Progress")+COUNTIFS('Retired VM Cleanup'!C:C,"Requirements",'Retired VM Cleanup'!B:B,"In Progress")+COUNTIFS('Zerto Scripts'!C:C,"Requirements",'Zerto Scripts'!B:B,"In Progress")</f>
        <v>0</v>
      </c>
      <c r="D185">
        <f>COUNTIFS('ODC Cleanup'!C:C,"Requirements",'ODC Cleanup'!B:B,"Completed")+COUNTIFS('Datastore Reclamation'!C:C,"Requirements",'Datastore Reclamation'!B:B,"Completed")+COUNTIFS('Retired VM Cleanup'!C:C,"Requirements",'Retired VM Cleanup'!B:B,"Completed")+COUNTIFS('Zerto Scripts'!C:C,"Requirements",'Zerto Scripts'!B:B,"Completed")</f>
        <v>0</v>
      </c>
      <c r="E185">
        <f>COUNTIFS('ODC Cleanup'!C:C,"Requirements",'ODC Cleanup'!B:B,"Overdue")+COUNTIFS('Datastore Reclamation'!C:C,"Requirements",'Datastore Reclamation'!B:B,"Overdue")+COUNTIFS('Retired VM Cleanup'!C:C,"Requirements",'Retired VM Cleanup'!B:B,"Overdue")+COUNTIFS('Zerto Scripts'!C:C,"Requirements",'Zerto Scripts'!B:B,"Overdue")</f>
        <v>0</v>
      </c>
      <c r="F185">
        <f>SUM(B185:E185)</f>
        <v>20</v>
      </c>
    </row>
    <row r="186" spans="1:7" x14ac:dyDescent="0.25">
      <c r="A186" t="s">
        <v>41</v>
      </c>
      <c r="B186">
        <f>COUNTIFS('ODC Cleanup'!C:C,"Design",'ODC Cleanup'!B:B,"Not Started")+COUNTIFS('Datastore Reclamation'!C:C,"Design",'Datastore Reclamation'!B:B,"Not Started")+COUNTIFS('Retired VM Cleanup'!C:C,"Design",'Retired VM Cleanup'!B:B,"Not Started")+COUNTIFS('Zerto Scripts'!C:C,"Design",'Zerto Scripts'!B:B,"Not Started")</f>
        <v>8</v>
      </c>
      <c r="C186">
        <f>COUNTIFS('ODC Cleanup'!C:C,"Design",'ODC Cleanup'!B:B,"In Progress")+COUNTIFS('Datastore Reclamation'!C:C,"Design",'Datastore Reclamation'!B:B,"In Progress")+COUNTIFS('Retired VM Cleanup'!C:C,"Design",'Retired VM Cleanup'!B:B,"In Progress")+COUNTIFS('Zerto Scripts'!C:C,"Design",'Zerto Scripts'!B:B,"In Progress")</f>
        <v>0</v>
      </c>
      <c r="D186">
        <f>COUNTIFS('ODC Cleanup'!C:C,"Design",'ODC Cleanup'!B:B,"Completed")+COUNTIFS('Datastore Reclamation'!C:C,"Design",'Datastore Reclamation'!B:B,"Completed")+COUNTIFS('Retired VM Cleanup'!C:C,"Design",'Retired VM Cleanup'!B:B,"Completed")+COUNTIFS('Zerto Scripts'!C:C,"Design",'Zerto Scripts'!B:B,"Completed")</f>
        <v>0</v>
      </c>
      <c r="E186">
        <f>COUNTIFS('ODC Cleanup'!C:C,"Design",'ODC Cleanup'!B:B,"Overdue")+COUNTIFS('Datastore Reclamation'!C:C,"Design",'Datastore Reclamation'!B:B,"Overdue")+COUNTIFS('Retired VM Cleanup'!C:C,"Design",'Retired VM Cleanup'!B:B,"Overdue")+COUNTIFS('Zerto Scripts'!C:C,"Design",'Zerto Scripts'!B:B,"Overdue")</f>
        <v>0</v>
      </c>
      <c r="F186">
        <f>SUM(B186:E186)</f>
        <v>8</v>
      </c>
    </row>
    <row r="187" spans="1:7" x14ac:dyDescent="0.25">
      <c r="A187" t="s">
        <v>43</v>
      </c>
      <c r="B187">
        <f>COUNTIFS('ODC Cleanup'!C:C,"Implementation",'ODC Cleanup'!B:B,"Not Started")+COUNTIFS('Datastore Reclamation'!C:C,"Implementation",'Datastore Reclamation'!B:B,"Not Started")+COUNTIFS('Retired VM Cleanup'!C:C,"Implementation",'Retired VM Cleanup'!B:B,"Not Started")+COUNTIFS('Zerto Scripts'!C:C,"Implementation",'Zerto Scripts'!B:B,"Not Started")</f>
        <v>15</v>
      </c>
      <c r="C187">
        <f>COUNTIFS('ODC Cleanup'!C:C,"Implementation",'ODC Cleanup'!B:B,"In Progress")+COUNTIFS('Datastore Reclamation'!C:C,"Implementation",'Datastore Reclamation'!B:B,"In Progress")+COUNTIFS('Retired VM Cleanup'!C:C,"Implementation",'Retired VM Cleanup'!B:B,"In Progress")+COUNTIFS('Zerto Scripts'!C:C,"Implementation",'Zerto Scripts'!B:B,"In Progress")</f>
        <v>0</v>
      </c>
      <c r="D187">
        <f>COUNTIFS('ODC Cleanup'!C:C,"Implementation",'ODC Cleanup'!B:B,"Completed")+COUNTIFS('Datastore Reclamation'!C:C,"Implementation",'Datastore Reclamation'!B:B,"Completed")+COUNTIFS('Retired VM Cleanup'!C:C,"Implementation",'Retired VM Cleanup'!B:B,"Completed")+COUNTIFS('Zerto Scripts'!C:C,"Implementation",'Zerto Scripts'!B:B,"Completed")</f>
        <v>0</v>
      </c>
      <c r="E187">
        <f>COUNTIFS('ODC Cleanup'!C:C,"Implementation",'ODC Cleanup'!B:B,"Overdue")+COUNTIFS('Datastore Reclamation'!C:C,"Implementation",'Datastore Reclamation'!B:B,"Overdue")+COUNTIFS('Retired VM Cleanup'!C:C,"Implementation",'Retired VM Cleanup'!B:B,"Overdue")+COUNTIFS('Zerto Scripts'!C:C,"Implementation",'Zerto Scripts'!B:B,"Overdue")</f>
        <v>1</v>
      </c>
      <c r="F187">
        <f>SUM(B187:E187)</f>
        <v>16</v>
      </c>
    </row>
    <row r="188" spans="1:7" x14ac:dyDescent="0.25">
      <c r="A188" t="s">
        <v>47</v>
      </c>
      <c r="B188">
        <f>COUNTIFS('ODC Cleanup'!C:C,"Monitoring",'ODC Cleanup'!B:B,"Not Started")+COUNTIFS('Datastore Reclamation'!C:C,"Monitoring",'Datastore Reclamation'!B:B,"Not Started")+COUNTIFS('Retired VM Cleanup'!C:C,"Monitoring",'Retired VM Cleanup'!B:B,"Not Started")+COUNTIFS('Zerto Scripts'!C:C,"Monitoring",'Zerto Scripts'!B:B,"Not Started")</f>
        <v>16</v>
      </c>
      <c r="C188">
        <f>COUNTIFS('ODC Cleanup'!C:C,"Monitoring",'ODC Cleanup'!B:B,"In Progress")+COUNTIFS('Datastore Reclamation'!C:C,"Monitoring",'Datastore Reclamation'!B:B,"In Progress")+COUNTIFS('Retired VM Cleanup'!C:C,"Monitoring",'Retired VM Cleanup'!B:B,"In Progress")+COUNTIFS('Zerto Scripts'!C:C,"Monitoring",'Zerto Scripts'!B:B,"In Progress")</f>
        <v>0</v>
      </c>
      <c r="D188">
        <f>COUNTIFS('ODC Cleanup'!C:C,"Monitoring",'ODC Cleanup'!B:B,"Completed")+COUNTIFS('Datastore Reclamation'!C:C,"Monitoring",'Datastore Reclamation'!B:B,"Completed")+COUNTIFS('Retired VM Cleanup'!C:C,"Monitoring",'Retired VM Cleanup'!B:B,"Completed")+COUNTIFS('Zerto Scripts'!C:C,"Monitoring",'Zerto Scripts'!B:B,"Completed")</f>
        <v>0</v>
      </c>
      <c r="E188">
        <f>COUNTIFS('ODC Cleanup'!C:C,"Monitoring",'ODC Cleanup'!B:B,"Overdue")+COUNTIFS('Datastore Reclamation'!C:C,"Monitoring",'Datastore Reclamation'!B:B,"Overdue")+COUNTIFS('Retired VM Cleanup'!C:C,"Monitoring",'Retired VM Cleanup'!B:B,"Overdue")+COUNTIFS('Zerto Scripts'!C:C,"Monitoring",'Zerto Scripts'!B:B,"Overdue")</f>
        <v>0</v>
      </c>
      <c r="F188">
        <f>SUM(B188:E188)</f>
        <v>16</v>
      </c>
    </row>
    <row r="189" spans="1:7" x14ac:dyDescent="0.25">
      <c r="A189" s="7" t="s">
        <v>102</v>
      </c>
      <c r="B189">
        <f>SUM(B184:B188)</f>
        <v>75</v>
      </c>
      <c r="C189">
        <f>SUM(C184:C188)</f>
        <v>0</v>
      </c>
      <c r="D189">
        <f>SUM(D184:D188)</f>
        <v>0</v>
      </c>
      <c r="E189">
        <f>SUM(E184:E188)</f>
        <v>1</v>
      </c>
      <c r="F189">
        <f>SUM(F184:F188)</f>
        <v>76</v>
      </c>
    </row>
    <row r="191" spans="1:7" x14ac:dyDescent="0.25">
      <c r="A191" s="13" t="s">
        <v>103</v>
      </c>
      <c r="B191" s="8"/>
      <c r="C191" s="8"/>
      <c r="D191" s="8"/>
      <c r="E191" s="8"/>
      <c r="F191" s="8"/>
    </row>
    <row r="192" spans="1:7" x14ac:dyDescent="0.25">
      <c r="A192" s="7" t="s">
        <v>79</v>
      </c>
      <c r="B192" s="7" t="s">
        <v>104</v>
      </c>
      <c r="C192" s="7" t="s">
        <v>105</v>
      </c>
      <c r="D192" s="7" t="s">
        <v>106</v>
      </c>
      <c r="E192" s="7" t="s">
        <v>107</v>
      </c>
      <c r="F192" s="7" t="s">
        <v>108</v>
      </c>
    </row>
    <row r="193" spans="1:6" x14ac:dyDescent="0.25">
      <c r="A193" t="str">
        <f>IF(Config!A4="","",Config!A4)</f>
        <v>ODC Cleanup</v>
      </c>
      <c r="B193" s="14">
        <f ca="1">IF(Config!A4="","",IFERROR(COUNTIF(INDIRECT("'"&amp;Config!A4&amp;"'!B2:B100"),"Completed")/COUNTA(INDIRECT("'"&amp;Config!A4&amp;"'!A2:A100")),0))</f>
        <v>0</v>
      </c>
      <c r="C193" s="14">
        <f ca="1">IF(Config!A4="","",IFERROR(1-COUNTIF(INDIRECT("'"&amp;Config!A4&amp;"'!B2:B100"),"Overdue")/COUNTA(INDIRECT("'"&amp;Config!A4&amp;"'!A2:A100")),0))</f>
        <v>0.94736842105263164</v>
      </c>
      <c r="D193" s="14">
        <f ca="1">IF(Config!A4="","",IFERROR(1-(COUNTA(INDIRECT("'"&amp;Config!A4&amp;"'!J2:J100"))-COUNTIF(INDIRECT("'"&amp;Config!A4&amp;"'!J2:J100"),"None"))/COUNTA(INDIRECT("'"&amp;Config!A4&amp;"'!A2:A100")),0))</f>
        <v>0.94736842105263164</v>
      </c>
      <c r="E193" s="14" cm="1">
        <f t="array" aca="1" ref="E193" ca="1">IF(Config!A4="","",IFERROR(SUMPRODUCT((INDIRECT("'"&amp;Config!A4&amp;"'!L2:L100")="Must")*(INDIRECT("'"&amp;Config!A4&amp;"'!B2:B100")="Completed"))/MAX(COUNTIF(INDIRECT("'"&amp;Config!A4&amp;"'!L2:L100"),"Must"),1),0))</f>
        <v>0</v>
      </c>
      <c r="F193" s="14">
        <f ca="1">IF(Config!A4="","",IFERROR(AVERAGE(B193:E193),0))</f>
        <v>0.47368421052631582</v>
      </c>
    </row>
    <row r="194" spans="1:6" x14ac:dyDescent="0.25">
      <c r="A194" t="str">
        <f>IF(Config!A5="","",Config!A5)</f>
        <v>Datastore Reclamation</v>
      </c>
      <c r="B194" s="14">
        <f ca="1">IF(Config!A5="","",IFERROR(COUNTIF(INDIRECT("'"&amp;Config!A5&amp;"'!B2:B100"),"Completed")/COUNTA(INDIRECT("'"&amp;Config!A5&amp;"'!A2:A100")),0))</f>
        <v>0</v>
      </c>
      <c r="C194" s="14">
        <f ca="1">IF(Config!A5="","",IFERROR(1-COUNTIF(INDIRECT("'"&amp;Config!A5&amp;"'!B2:B100"),"Overdue")/COUNTA(INDIRECT("'"&amp;Config!A5&amp;"'!A2:A100")),0))</f>
        <v>1</v>
      </c>
      <c r="D194" s="14">
        <f ca="1">IF(Config!A5="","",IFERROR(1-(COUNTA(INDIRECT("'"&amp;Config!A5&amp;"'!J2:J100"))-COUNTIF(INDIRECT("'"&amp;Config!A5&amp;"'!J2:J100"),"None"))/COUNTA(INDIRECT("'"&amp;Config!A5&amp;"'!A2:A100")),0))</f>
        <v>1</v>
      </c>
      <c r="E194" s="14" cm="1">
        <f t="array" aca="1" ref="E194" ca="1">IF(Config!A5="","",IFERROR(SUMPRODUCT((INDIRECT("'"&amp;Config!A5&amp;"'!L2:L100")="Must")*(INDIRECT("'"&amp;Config!A5&amp;"'!B2:B100")="Completed"))/MAX(COUNTIF(INDIRECT("'"&amp;Config!A5&amp;"'!L2:L100"),"Must"),1),0))</f>
        <v>0</v>
      </c>
      <c r="F194" s="14">
        <f ca="1">IF(Config!A5="","",IFERROR(AVERAGE(B194:E194),0))</f>
        <v>0.5</v>
      </c>
    </row>
    <row r="195" spans="1:6" x14ac:dyDescent="0.25">
      <c r="A195" t="str">
        <f>IF(Config!A6="","",Config!A6)</f>
        <v>Retired VM Cleanup</v>
      </c>
      <c r="B195" s="14">
        <f ca="1">IF(Config!A6="","",IFERROR(COUNTIF(INDIRECT("'"&amp;Config!A6&amp;"'!B2:B100"),"Completed")/COUNTA(INDIRECT("'"&amp;Config!A6&amp;"'!A2:A100")),0))</f>
        <v>0</v>
      </c>
      <c r="C195" s="14">
        <f ca="1">IF(Config!A6="","",IFERROR(1-COUNTIF(INDIRECT("'"&amp;Config!A6&amp;"'!B2:B100"),"Overdue")/COUNTA(INDIRECT("'"&amp;Config!A6&amp;"'!A2:A100")),0))</f>
        <v>1</v>
      </c>
      <c r="D195" s="14">
        <f ca="1">IF(Config!A6="","",IFERROR(1-(COUNTA(INDIRECT("'"&amp;Config!A6&amp;"'!J2:J100"))-COUNTIF(INDIRECT("'"&amp;Config!A6&amp;"'!J2:J100"),"None"))/COUNTA(INDIRECT("'"&amp;Config!A6&amp;"'!A2:A100")),0))</f>
        <v>1</v>
      </c>
      <c r="E195" s="14" cm="1">
        <f t="array" aca="1" ref="E195" ca="1">IF(Config!A6="","",IFERROR(SUMPRODUCT((INDIRECT("'"&amp;Config!A6&amp;"'!L2:L100")="Must")*(INDIRECT("'"&amp;Config!A6&amp;"'!B2:B100")="Completed"))/MAX(COUNTIF(INDIRECT("'"&amp;Config!A6&amp;"'!L2:L100"),"Must"),1),0))</f>
        <v>0</v>
      </c>
      <c r="F195" s="14">
        <f ca="1">IF(Config!A6="","",IFERROR(AVERAGE(B195:E195),0))</f>
        <v>0.5</v>
      </c>
    </row>
    <row r="196" spans="1:6" x14ac:dyDescent="0.25">
      <c r="A196" t="str">
        <f>IF(Config!A7="","",Config!A7)</f>
        <v>Zerto Scripts</v>
      </c>
      <c r="B196" s="14">
        <f ca="1">IF(Config!A7="","",IFERROR(COUNTIF(INDIRECT("'"&amp;Config!A7&amp;"'!B2:B100"),"Completed")/COUNTA(INDIRECT("'"&amp;Config!A7&amp;"'!A2:A100")),0))</f>
        <v>0</v>
      </c>
      <c r="C196" s="14">
        <f ca="1">IF(Config!A7="","",IFERROR(1-COUNTIF(INDIRECT("'"&amp;Config!A7&amp;"'!B2:B100"),"Overdue")/COUNTA(INDIRECT("'"&amp;Config!A7&amp;"'!A2:A100")),0))</f>
        <v>1</v>
      </c>
      <c r="D196" s="14">
        <f ca="1">IF(Config!A7="","",IFERROR(1-(COUNTA(INDIRECT("'"&amp;Config!A7&amp;"'!J2:J100"))-COUNTIF(INDIRECT("'"&amp;Config!A7&amp;"'!J2:J100"),"None"))/COUNTA(INDIRECT("'"&amp;Config!A7&amp;"'!A2:A100")),0))</f>
        <v>1</v>
      </c>
      <c r="E196" s="14" cm="1">
        <f t="array" aca="1" ref="E196" ca="1">IF(Config!A7="","",IFERROR(SUMPRODUCT((INDIRECT("'"&amp;Config!A7&amp;"'!L2:L100")="Must")*(INDIRECT("'"&amp;Config!A7&amp;"'!B2:B100")="Completed"))/MAX(COUNTIF(INDIRECT("'"&amp;Config!A7&amp;"'!L2:L100"),"Must"),1),0))</f>
        <v>0</v>
      </c>
      <c r="F196" s="14">
        <f ca="1">IF(Config!A7="","",IFERROR(AVERAGE(B196:E196),0))</f>
        <v>0.5</v>
      </c>
    </row>
    <row r="197" spans="1:6" x14ac:dyDescent="0.25">
      <c r="A197" t="str">
        <f>IF(Config!A8="","",Config!A8)</f>
        <v/>
      </c>
      <c r="B197" s="14" t="str">
        <f ca="1">IF(Config!A8="","",IFERROR(COUNTIF(INDIRECT("'"&amp;Config!A8&amp;"'!B2:B100"),"Completed")/COUNTA(INDIRECT("'"&amp;Config!A8&amp;"'!A2:A100")),0))</f>
        <v/>
      </c>
      <c r="C197" s="14" t="str">
        <f ca="1">IF(Config!A8="","",IFERROR(1-COUNTIF(INDIRECT("'"&amp;Config!A8&amp;"'!B2:B100"),"Overdue")/COUNTA(INDIRECT("'"&amp;Config!A8&amp;"'!A2:A100")),0))</f>
        <v/>
      </c>
      <c r="D197" s="14" t="str">
        <f ca="1">IF(Config!A8="","",IFERROR(1-(COUNTA(INDIRECT("'"&amp;Config!A8&amp;"'!J2:J100"))-COUNTIF(INDIRECT("'"&amp;Config!A8&amp;"'!J2:J100"),"None"))/COUNTA(INDIRECT("'"&amp;Config!A8&amp;"'!A2:A100")),0))</f>
        <v/>
      </c>
      <c r="E197" s="14" t="str" cm="1">
        <f t="array" aca="1" ref="E197" ca="1">IF(Config!A8="","",IFERROR(SUMPRODUCT((INDIRECT("'"&amp;Config!A8&amp;"'!L2:L100")="Must")*(INDIRECT("'"&amp;Config!A8&amp;"'!B2:B100")="Completed"))/MAX(COUNTIF(INDIRECT("'"&amp;Config!A8&amp;"'!L2:L100"),"Must"),1),0))</f>
        <v/>
      </c>
      <c r="F197" s="14" t="str">
        <f>IF(Config!A8="","",IFERROR(AVERAGE(B197:E197),0))</f>
        <v/>
      </c>
    </row>
    <row r="198" spans="1:6" x14ac:dyDescent="0.25">
      <c r="A198" t="str">
        <f>IF(Config!A9="","",Config!A9)</f>
        <v/>
      </c>
      <c r="B198" s="14" t="str">
        <f ca="1">IF(Config!A9="","",IFERROR(COUNTIF(INDIRECT("'"&amp;Config!A9&amp;"'!B2:B100"),"Completed")/COUNTA(INDIRECT("'"&amp;Config!A9&amp;"'!A2:A100")),0))</f>
        <v/>
      </c>
      <c r="C198" s="14" t="str">
        <f ca="1">IF(Config!A9="","",IFERROR(1-COUNTIF(INDIRECT("'"&amp;Config!A9&amp;"'!B2:B100"),"Overdue")/COUNTA(INDIRECT("'"&amp;Config!A9&amp;"'!A2:A100")),0))</f>
        <v/>
      </c>
      <c r="D198" s="14" t="str">
        <f ca="1">IF(Config!A9="","",IFERROR(1-(COUNTA(INDIRECT("'"&amp;Config!A9&amp;"'!J2:J100"))-COUNTIF(INDIRECT("'"&amp;Config!A9&amp;"'!J2:J100"),"None"))/COUNTA(INDIRECT("'"&amp;Config!A9&amp;"'!A2:A100")),0))</f>
        <v/>
      </c>
      <c r="E198" s="14" t="str" cm="1">
        <f t="array" aca="1" ref="E198" ca="1">IF(Config!A9="","",IFERROR(SUMPRODUCT((INDIRECT("'"&amp;Config!A9&amp;"'!L2:L100")="Must")*(INDIRECT("'"&amp;Config!A9&amp;"'!B2:B100")="Completed"))/MAX(COUNTIF(INDIRECT("'"&amp;Config!A9&amp;"'!L2:L100"),"Must"),1),0))</f>
        <v/>
      </c>
      <c r="F198" s="14" t="str">
        <f>IF(Config!A9="","",IFERROR(AVERAGE(B198:E198),0))</f>
        <v/>
      </c>
    </row>
    <row r="199" spans="1:6" x14ac:dyDescent="0.25">
      <c r="A199" t="str">
        <f>IF(Config!A10="","",Config!A10)</f>
        <v/>
      </c>
      <c r="B199" s="14" t="str">
        <f ca="1">IF(Config!A10="","",IFERROR(COUNTIF(INDIRECT("'"&amp;Config!A10&amp;"'!B2:B100"),"Completed")/COUNTA(INDIRECT("'"&amp;Config!A10&amp;"'!A2:A100")),0))</f>
        <v/>
      </c>
      <c r="C199" s="14" t="str">
        <f ca="1">IF(Config!A10="","",IFERROR(1-COUNTIF(INDIRECT("'"&amp;Config!A10&amp;"'!B2:B100"),"Overdue")/COUNTA(INDIRECT("'"&amp;Config!A10&amp;"'!A2:A100")),0))</f>
        <v/>
      </c>
      <c r="D199" s="14" t="str">
        <f ca="1">IF(Config!A10="","",IFERROR(1-(COUNTA(INDIRECT("'"&amp;Config!A10&amp;"'!J2:J100"))-COUNTIF(INDIRECT("'"&amp;Config!A10&amp;"'!J2:J100"),"None"))/COUNTA(INDIRECT("'"&amp;Config!A10&amp;"'!A2:A100")),0))</f>
        <v/>
      </c>
      <c r="E199" s="14" t="str" cm="1">
        <f t="array" aca="1" ref="E199" ca="1">IF(Config!A10="","",IFERROR(SUMPRODUCT((INDIRECT("'"&amp;Config!A10&amp;"'!L2:L100")="Must")*(INDIRECT("'"&amp;Config!A10&amp;"'!B2:B100")="Completed"))/MAX(COUNTIF(INDIRECT("'"&amp;Config!A10&amp;"'!L2:L100"),"Must"),1),0))</f>
        <v/>
      </c>
      <c r="F199" s="14" t="str">
        <f>IF(Config!A10="","",IFERROR(AVERAGE(B199:E199),0))</f>
        <v/>
      </c>
    </row>
    <row r="200" spans="1:6" x14ac:dyDescent="0.25">
      <c r="A200" t="str">
        <f>IF(Config!A11="","",Config!A11)</f>
        <v/>
      </c>
      <c r="B200" s="14" t="str">
        <f ca="1">IF(Config!A11="","",IFERROR(COUNTIF(INDIRECT("'"&amp;Config!A11&amp;"'!B2:B100"),"Completed")/COUNTA(INDIRECT("'"&amp;Config!A11&amp;"'!A2:A100")),0))</f>
        <v/>
      </c>
      <c r="C200" s="14" t="str">
        <f ca="1">IF(Config!A11="","",IFERROR(1-COUNTIF(INDIRECT("'"&amp;Config!A11&amp;"'!B2:B100"),"Overdue")/COUNTA(INDIRECT("'"&amp;Config!A11&amp;"'!A2:A100")),0))</f>
        <v/>
      </c>
      <c r="D200" s="14" t="str">
        <f ca="1">IF(Config!A11="","",IFERROR(1-(COUNTA(INDIRECT("'"&amp;Config!A11&amp;"'!J2:J100"))-COUNTIF(INDIRECT("'"&amp;Config!A11&amp;"'!J2:J100"),"None"))/COUNTA(INDIRECT("'"&amp;Config!A11&amp;"'!A2:A100")),0))</f>
        <v/>
      </c>
      <c r="E200" s="14" t="str" cm="1">
        <f t="array" aca="1" ref="E200" ca="1">IF(Config!A11="","",IFERROR(SUMPRODUCT((INDIRECT("'"&amp;Config!A11&amp;"'!L2:L100")="Must")*(INDIRECT("'"&amp;Config!A11&amp;"'!B2:B100")="Completed"))/MAX(COUNTIF(INDIRECT("'"&amp;Config!A11&amp;"'!L2:L100"),"Must"),1),0))</f>
        <v/>
      </c>
      <c r="F200" s="14" t="str">
        <f>IF(Config!A11="","",IFERROR(AVERAGE(B200:E200),0))</f>
        <v/>
      </c>
    </row>
    <row r="201" spans="1:6" x14ac:dyDescent="0.25">
      <c r="A201" t="str">
        <f>IF(Config!A12="","",Config!A12)</f>
        <v/>
      </c>
      <c r="B201" s="14" t="str">
        <f ca="1">IF(Config!A12="","",IFERROR(COUNTIF(INDIRECT("'"&amp;Config!A12&amp;"'!B2:B100"),"Completed")/COUNTA(INDIRECT("'"&amp;Config!A12&amp;"'!A2:A100")),0))</f>
        <v/>
      </c>
      <c r="C201" s="14" t="str">
        <f ca="1">IF(Config!A12="","",IFERROR(1-COUNTIF(INDIRECT("'"&amp;Config!A12&amp;"'!B2:B100"),"Overdue")/COUNTA(INDIRECT("'"&amp;Config!A12&amp;"'!A2:A100")),0))</f>
        <v/>
      </c>
      <c r="D201" s="14" t="str">
        <f ca="1">IF(Config!A12="","",IFERROR(1-(COUNTA(INDIRECT("'"&amp;Config!A12&amp;"'!J2:J100"))-COUNTIF(INDIRECT("'"&amp;Config!A12&amp;"'!J2:J100"),"None"))/COUNTA(INDIRECT("'"&amp;Config!A12&amp;"'!A2:A100")),0))</f>
        <v/>
      </c>
      <c r="E201" s="14" t="str" cm="1">
        <f t="array" aca="1" ref="E201" ca="1">IF(Config!A12="","",IFERROR(SUMPRODUCT((INDIRECT("'"&amp;Config!A12&amp;"'!L2:L100")="Must")*(INDIRECT("'"&amp;Config!A12&amp;"'!B2:B100")="Completed"))/MAX(COUNTIF(INDIRECT("'"&amp;Config!A12&amp;"'!L2:L100"),"Must"),1),0))</f>
        <v/>
      </c>
      <c r="F201" s="14" t="str">
        <f>IF(Config!A12="","",IFERROR(AVERAGE(B201:E201),0))</f>
        <v/>
      </c>
    </row>
    <row r="202" spans="1:6" x14ac:dyDescent="0.25">
      <c r="A202" t="str">
        <f>IF(Config!A13="","",Config!A13)</f>
        <v/>
      </c>
      <c r="B202" s="14" t="str">
        <f ca="1">IF(Config!A13="","",IFERROR(COUNTIF(INDIRECT("'"&amp;Config!A13&amp;"'!B2:B100"),"Completed")/COUNTA(INDIRECT("'"&amp;Config!A13&amp;"'!A2:A100")),0))</f>
        <v/>
      </c>
      <c r="C202" s="14" t="str">
        <f ca="1">IF(Config!A13="","",IFERROR(1-COUNTIF(INDIRECT("'"&amp;Config!A13&amp;"'!B2:B100"),"Overdue")/COUNTA(INDIRECT("'"&amp;Config!A13&amp;"'!A2:A100")),0))</f>
        <v/>
      </c>
      <c r="D202" s="14" t="str">
        <f ca="1">IF(Config!A13="","",IFERROR(1-(COUNTA(INDIRECT("'"&amp;Config!A13&amp;"'!J2:J100"))-COUNTIF(INDIRECT("'"&amp;Config!A13&amp;"'!J2:J100"),"None"))/COUNTA(INDIRECT("'"&amp;Config!A13&amp;"'!A2:A100")),0))</f>
        <v/>
      </c>
      <c r="E202" s="14" t="str" cm="1">
        <f t="array" aca="1" ref="E202" ca="1">IF(Config!A13="","",IFERROR(SUMPRODUCT((INDIRECT("'"&amp;Config!A13&amp;"'!L2:L100")="Must")*(INDIRECT("'"&amp;Config!A13&amp;"'!B2:B100")="Completed"))/MAX(COUNTIF(INDIRECT("'"&amp;Config!A13&amp;"'!L2:L100"),"Must"),1),0))</f>
        <v/>
      </c>
      <c r="F202" s="14" t="str">
        <f>IF(Config!A13="","",IFERROR(AVERAGE(B202:E202),0))</f>
        <v/>
      </c>
    </row>
    <row r="203" spans="1:6" x14ac:dyDescent="0.25">
      <c r="A203" t="str">
        <f>IF(Config!A14="","",Config!A14)</f>
        <v/>
      </c>
      <c r="B203" s="14" t="str">
        <f ca="1">IF(Config!A14="","",IFERROR(COUNTIF(INDIRECT("'"&amp;Config!A14&amp;"'!B2:B100"),"Completed")/COUNTA(INDIRECT("'"&amp;Config!A14&amp;"'!A2:A100")),0))</f>
        <v/>
      </c>
      <c r="C203" s="14" t="str">
        <f ca="1">IF(Config!A14="","",IFERROR(1-COUNTIF(INDIRECT("'"&amp;Config!A14&amp;"'!B2:B100"),"Overdue")/COUNTA(INDIRECT("'"&amp;Config!A14&amp;"'!A2:A100")),0))</f>
        <v/>
      </c>
      <c r="D203" s="14" t="str">
        <f ca="1">IF(Config!A14="","",IFERROR(1-(COUNTA(INDIRECT("'"&amp;Config!A14&amp;"'!J2:J100"))-COUNTIF(INDIRECT("'"&amp;Config!A14&amp;"'!J2:J100"),"None"))/COUNTA(INDIRECT("'"&amp;Config!A14&amp;"'!A2:A100")),0))</f>
        <v/>
      </c>
      <c r="E203" s="14" t="str" cm="1">
        <f t="array" aca="1" ref="E203" ca="1">IF(Config!A14="","",IFERROR(SUMPRODUCT((INDIRECT("'"&amp;Config!A14&amp;"'!L2:L100")="Must")*(INDIRECT("'"&amp;Config!A14&amp;"'!B2:B100")="Completed"))/MAX(COUNTIF(INDIRECT("'"&amp;Config!A14&amp;"'!L2:L100"),"Must"),1),0))</f>
        <v/>
      </c>
      <c r="F203" s="14" t="str">
        <f>IF(Config!A14="","",IFERROR(AVERAGE(B203:E203),0))</f>
        <v/>
      </c>
    </row>
    <row r="204" spans="1:6" x14ac:dyDescent="0.25">
      <c r="A204" t="str">
        <f>IF(Config!A15="","",Config!A15)</f>
        <v/>
      </c>
      <c r="B204" s="14" t="str">
        <f ca="1">IF(Config!A15="","",IFERROR(COUNTIF(INDIRECT("'"&amp;Config!A15&amp;"'!B2:B100"),"Completed")/COUNTA(INDIRECT("'"&amp;Config!A15&amp;"'!A2:A100")),0))</f>
        <v/>
      </c>
      <c r="C204" s="14" t="str">
        <f ca="1">IF(Config!A15="","",IFERROR(1-COUNTIF(INDIRECT("'"&amp;Config!A15&amp;"'!B2:B100"),"Overdue")/COUNTA(INDIRECT("'"&amp;Config!A15&amp;"'!A2:A100")),0))</f>
        <v/>
      </c>
      <c r="D204" s="14" t="str">
        <f ca="1">IF(Config!A15="","",IFERROR(1-(COUNTA(INDIRECT("'"&amp;Config!A15&amp;"'!J2:J100"))-COUNTIF(INDIRECT("'"&amp;Config!A15&amp;"'!J2:J100"),"None"))/COUNTA(INDIRECT("'"&amp;Config!A15&amp;"'!A2:A100")),0))</f>
        <v/>
      </c>
      <c r="E204" s="14" t="str" cm="1">
        <f t="array" aca="1" ref="E204" ca="1">IF(Config!A15="","",IFERROR(SUMPRODUCT((INDIRECT("'"&amp;Config!A15&amp;"'!L2:L100")="Must")*(INDIRECT("'"&amp;Config!A15&amp;"'!B2:B100")="Completed"))/MAX(COUNTIF(INDIRECT("'"&amp;Config!A15&amp;"'!L2:L100"),"Must"),1),0))</f>
        <v/>
      </c>
      <c r="F204" s="14" t="str">
        <f>IF(Config!A15="","",IFERROR(AVERAGE(B204:E204),0))</f>
        <v/>
      </c>
    </row>
    <row r="205" spans="1:6" x14ac:dyDescent="0.25">
      <c r="A205" t="str">
        <f>IF(Config!A16="","",Config!A16)</f>
        <v/>
      </c>
      <c r="B205" s="14" t="str">
        <f ca="1">IF(Config!A16="","",IFERROR(COUNTIF(INDIRECT("'"&amp;Config!A16&amp;"'!B2:B100"),"Completed")/COUNTA(INDIRECT("'"&amp;Config!A16&amp;"'!A2:A100")),0))</f>
        <v/>
      </c>
      <c r="C205" s="14" t="str">
        <f ca="1">IF(Config!A16="","",IFERROR(1-COUNTIF(INDIRECT("'"&amp;Config!A16&amp;"'!B2:B100"),"Overdue")/COUNTA(INDIRECT("'"&amp;Config!A16&amp;"'!A2:A100")),0))</f>
        <v/>
      </c>
      <c r="D205" s="14" t="str">
        <f ca="1">IF(Config!A16="","",IFERROR(1-(COUNTA(INDIRECT("'"&amp;Config!A16&amp;"'!J2:J100"))-COUNTIF(INDIRECT("'"&amp;Config!A16&amp;"'!J2:J100"),"None"))/COUNTA(INDIRECT("'"&amp;Config!A16&amp;"'!A2:A100")),0))</f>
        <v/>
      </c>
      <c r="E205" s="14" t="str" cm="1">
        <f t="array" aca="1" ref="E205" ca="1">IF(Config!A16="","",IFERROR(SUMPRODUCT((INDIRECT("'"&amp;Config!A16&amp;"'!L2:L100")="Must")*(INDIRECT("'"&amp;Config!A16&amp;"'!B2:B100")="Completed"))/MAX(COUNTIF(INDIRECT("'"&amp;Config!A16&amp;"'!L2:L100"),"Must"),1),0))</f>
        <v/>
      </c>
      <c r="F205" s="14" t="str">
        <f>IF(Config!A16="","",IFERROR(AVERAGE(B205:E205),0))</f>
        <v/>
      </c>
    </row>
    <row r="206" spans="1:6" x14ac:dyDescent="0.25">
      <c r="A206" t="str">
        <f>IF(Config!A17="","",Config!A17)</f>
        <v/>
      </c>
      <c r="B206" s="14" t="str">
        <f ca="1">IF(Config!A17="","",IFERROR(COUNTIF(INDIRECT("'"&amp;Config!A17&amp;"'!B2:B100"),"Completed")/COUNTA(INDIRECT("'"&amp;Config!A17&amp;"'!A2:A100")),0))</f>
        <v/>
      </c>
      <c r="C206" s="14" t="str">
        <f ca="1">IF(Config!A17="","",IFERROR(1-COUNTIF(INDIRECT("'"&amp;Config!A17&amp;"'!B2:B100"),"Overdue")/COUNTA(INDIRECT("'"&amp;Config!A17&amp;"'!A2:A100")),0))</f>
        <v/>
      </c>
      <c r="D206" s="14" t="str">
        <f ca="1">IF(Config!A17="","",IFERROR(1-(COUNTA(INDIRECT("'"&amp;Config!A17&amp;"'!J2:J100"))-COUNTIF(INDIRECT("'"&amp;Config!A17&amp;"'!J2:J100"),"None"))/COUNTA(INDIRECT("'"&amp;Config!A17&amp;"'!A2:A100")),0))</f>
        <v/>
      </c>
      <c r="E206" s="14" t="str" cm="1">
        <f t="array" aca="1" ref="E206" ca="1">IF(Config!A17="","",IFERROR(SUMPRODUCT((INDIRECT("'"&amp;Config!A17&amp;"'!L2:L100")="Must")*(INDIRECT("'"&amp;Config!A17&amp;"'!B2:B100")="Completed"))/MAX(COUNTIF(INDIRECT("'"&amp;Config!A17&amp;"'!L2:L100"),"Must"),1),0))</f>
        <v/>
      </c>
      <c r="F206" s="14" t="str">
        <f>IF(Config!A17="","",IFERROR(AVERAGE(B206:E206),0))</f>
        <v/>
      </c>
    </row>
    <row r="207" spans="1:6" x14ac:dyDescent="0.25">
      <c r="A207" t="str">
        <f>IF(Config!A18="","",Config!A18)</f>
        <v/>
      </c>
      <c r="B207" s="14" t="str">
        <f ca="1">IF(Config!A18="","",IFERROR(COUNTIF(INDIRECT("'"&amp;Config!A18&amp;"'!B2:B100"),"Completed")/COUNTA(INDIRECT("'"&amp;Config!A18&amp;"'!A2:A100")),0))</f>
        <v/>
      </c>
      <c r="C207" s="14" t="str">
        <f ca="1">IF(Config!A18="","",IFERROR(1-COUNTIF(INDIRECT("'"&amp;Config!A18&amp;"'!B2:B100"),"Overdue")/COUNTA(INDIRECT("'"&amp;Config!A18&amp;"'!A2:A100")),0))</f>
        <v/>
      </c>
      <c r="D207" s="14" t="str">
        <f ca="1">IF(Config!A18="","",IFERROR(1-(COUNTA(INDIRECT("'"&amp;Config!A18&amp;"'!J2:J100"))-COUNTIF(INDIRECT("'"&amp;Config!A18&amp;"'!J2:J100"),"None"))/COUNTA(INDIRECT("'"&amp;Config!A18&amp;"'!A2:A100")),0))</f>
        <v/>
      </c>
      <c r="E207" s="14" t="str" cm="1">
        <f t="array" aca="1" ref="E207" ca="1">IF(Config!A18="","",IFERROR(SUMPRODUCT((INDIRECT("'"&amp;Config!A18&amp;"'!L2:L100")="Must")*(INDIRECT("'"&amp;Config!A18&amp;"'!B2:B100")="Completed"))/MAX(COUNTIF(INDIRECT("'"&amp;Config!A18&amp;"'!L2:L100"),"Must"),1),0))</f>
        <v/>
      </c>
      <c r="F207" s="14" t="str">
        <f>IF(Config!A18="","",IFERROR(AVERAGE(B207:E207),0))</f>
        <v/>
      </c>
    </row>
    <row r="208" spans="1:6" x14ac:dyDescent="0.25">
      <c r="A208" t="str">
        <f>IF(Config!A19="","",Config!A19)</f>
        <v/>
      </c>
      <c r="B208" s="14" t="str">
        <f ca="1">IF(Config!A19="","",IFERROR(COUNTIF(INDIRECT("'"&amp;Config!A19&amp;"'!B2:B100"),"Completed")/COUNTA(INDIRECT("'"&amp;Config!A19&amp;"'!A2:A100")),0))</f>
        <v/>
      </c>
      <c r="C208" s="14" t="str">
        <f ca="1">IF(Config!A19="","",IFERROR(1-COUNTIF(INDIRECT("'"&amp;Config!A19&amp;"'!B2:B100"),"Overdue")/COUNTA(INDIRECT("'"&amp;Config!A19&amp;"'!A2:A100")),0))</f>
        <v/>
      </c>
      <c r="D208" s="14" t="str">
        <f ca="1">IF(Config!A19="","",IFERROR(1-(COUNTA(INDIRECT("'"&amp;Config!A19&amp;"'!J2:J100"))-COUNTIF(INDIRECT("'"&amp;Config!A19&amp;"'!J2:J100"),"None"))/COUNTA(INDIRECT("'"&amp;Config!A19&amp;"'!A2:A100")),0))</f>
        <v/>
      </c>
      <c r="E208" s="14" t="str" cm="1">
        <f t="array" aca="1" ref="E208" ca="1">IF(Config!A19="","",IFERROR(SUMPRODUCT((INDIRECT("'"&amp;Config!A19&amp;"'!L2:L100")="Must")*(INDIRECT("'"&amp;Config!A19&amp;"'!B2:B100")="Completed"))/MAX(COUNTIF(INDIRECT("'"&amp;Config!A19&amp;"'!L2:L100"),"Must"),1),0))</f>
        <v/>
      </c>
      <c r="F208" s="14" t="str">
        <f>IF(Config!A19="","",IFERROR(AVERAGE(B208:E208),0))</f>
        <v/>
      </c>
    </row>
    <row r="209" spans="1:6" x14ac:dyDescent="0.25">
      <c r="A209" t="str">
        <f>IF(Config!A20="","",Config!A20)</f>
        <v/>
      </c>
      <c r="B209" s="14" t="str">
        <f ca="1">IF(Config!A20="","",IFERROR(COUNTIF(INDIRECT("'"&amp;Config!A20&amp;"'!B2:B100"),"Completed")/COUNTA(INDIRECT("'"&amp;Config!A20&amp;"'!A2:A100")),0))</f>
        <v/>
      </c>
      <c r="C209" s="14" t="str">
        <f ca="1">IF(Config!A20="","",IFERROR(1-COUNTIF(INDIRECT("'"&amp;Config!A20&amp;"'!B2:B100"),"Overdue")/COUNTA(INDIRECT("'"&amp;Config!A20&amp;"'!A2:A100")),0))</f>
        <v/>
      </c>
      <c r="D209" s="14" t="str">
        <f ca="1">IF(Config!A20="","",IFERROR(1-(COUNTA(INDIRECT("'"&amp;Config!A20&amp;"'!J2:J100"))-COUNTIF(INDIRECT("'"&amp;Config!A20&amp;"'!J2:J100"),"None"))/COUNTA(INDIRECT("'"&amp;Config!A20&amp;"'!A2:A100")),0))</f>
        <v/>
      </c>
      <c r="E209" s="14" t="str" cm="1">
        <f t="array" aca="1" ref="E209" ca="1">IF(Config!A20="","",IFERROR(SUMPRODUCT((INDIRECT("'"&amp;Config!A20&amp;"'!L2:L100")="Must")*(INDIRECT("'"&amp;Config!A20&amp;"'!B2:B100")="Completed"))/MAX(COUNTIF(INDIRECT("'"&amp;Config!A20&amp;"'!L2:L100"),"Must"),1),0))</f>
        <v/>
      </c>
      <c r="F209" s="14" t="str">
        <f>IF(Config!A20="","",IFERROR(AVERAGE(B209:E209),0))</f>
        <v/>
      </c>
    </row>
    <row r="210" spans="1:6" x14ac:dyDescent="0.25">
      <c r="A210" t="str">
        <f>IF(Config!A21="","",Config!A21)</f>
        <v/>
      </c>
      <c r="B210" s="14" t="str">
        <f ca="1">IF(Config!A21="","",IFERROR(COUNTIF(INDIRECT("'"&amp;Config!A21&amp;"'!B2:B100"),"Completed")/COUNTA(INDIRECT("'"&amp;Config!A21&amp;"'!A2:A100")),0))</f>
        <v/>
      </c>
      <c r="C210" s="14" t="str">
        <f ca="1">IF(Config!A21="","",IFERROR(1-COUNTIF(INDIRECT("'"&amp;Config!A21&amp;"'!B2:B100"),"Overdue")/COUNTA(INDIRECT("'"&amp;Config!A21&amp;"'!A2:A100")),0))</f>
        <v/>
      </c>
      <c r="D210" s="14" t="str">
        <f ca="1">IF(Config!A21="","",IFERROR(1-(COUNTA(INDIRECT("'"&amp;Config!A21&amp;"'!J2:J100"))-COUNTIF(INDIRECT("'"&amp;Config!A21&amp;"'!J2:J100"),"None"))/COUNTA(INDIRECT("'"&amp;Config!A21&amp;"'!A2:A100")),0))</f>
        <v/>
      </c>
      <c r="E210" s="14" t="str" cm="1">
        <f t="array" aca="1" ref="E210" ca="1">IF(Config!A21="","",IFERROR(SUMPRODUCT((INDIRECT("'"&amp;Config!A21&amp;"'!L2:L100")="Must")*(INDIRECT("'"&amp;Config!A21&amp;"'!B2:B100")="Completed"))/MAX(COUNTIF(INDIRECT("'"&amp;Config!A21&amp;"'!L2:L100"),"Must"),1),0))</f>
        <v/>
      </c>
      <c r="F210" s="14" t="str">
        <f>IF(Config!A21="","",IFERROR(AVERAGE(B210:E210),0))</f>
        <v/>
      </c>
    </row>
    <row r="211" spans="1:6" x14ac:dyDescent="0.25">
      <c r="A211" t="str">
        <f>IF(Config!A22="","",Config!A22)</f>
        <v/>
      </c>
      <c r="B211" s="14" t="str">
        <f ca="1">IF(Config!A22="","",IFERROR(COUNTIF(INDIRECT("'"&amp;Config!A22&amp;"'!B2:B100"),"Completed")/COUNTA(INDIRECT("'"&amp;Config!A22&amp;"'!A2:A100")),0))</f>
        <v/>
      </c>
      <c r="C211" s="14" t="str">
        <f ca="1">IF(Config!A22="","",IFERROR(1-COUNTIF(INDIRECT("'"&amp;Config!A22&amp;"'!B2:B100"),"Overdue")/COUNTA(INDIRECT("'"&amp;Config!A22&amp;"'!A2:A100")),0))</f>
        <v/>
      </c>
      <c r="D211" s="14" t="str">
        <f ca="1">IF(Config!A22="","",IFERROR(1-(COUNTA(INDIRECT("'"&amp;Config!A22&amp;"'!J2:J100"))-COUNTIF(INDIRECT("'"&amp;Config!A22&amp;"'!J2:J100"),"None"))/COUNTA(INDIRECT("'"&amp;Config!A22&amp;"'!A2:A100")),0))</f>
        <v/>
      </c>
      <c r="E211" s="14" t="str" cm="1">
        <f t="array" aca="1" ref="E211" ca="1">IF(Config!A22="","",IFERROR(SUMPRODUCT((INDIRECT("'"&amp;Config!A22&amp;"'!L2:L100")="Must")*(INDIRECT("'"&amp;Config!A22&amp;"'!B2:B100")="Completed"))/MAX(COUNTIF(INDIRECT("'"&amp;Config!A22&amp;"'!L2:L100"),"Must"),1),0))</f>
        <v/>
      </c>
      <c r="F211" s="14" t="str">
        <f>IF(Config!A22="","",IFERROR(AVERAGE(B211:E211),0))</f>
        <v/>
      </c>
    </row>
    <row r="212" spans="1:6" x14ac:dyDescent="0.25">
      <c r="A212" t="str">
        <f>IF(Config!A23="","",Config!A23)</f>
        <v/>
      </c>
      <c r="B212" s="14" t="str">
        <f ca="1">IF(Config!A23="","",IFERROR(COUNTIF(INDIRECT("'"&amp;Config!A23&amp;"'!B2:B100"),"Completed")/COUNTA(INDIRECT("'"&amp;Config!A23&amp;"'!A2:A100")),0))</f>
        <v/>
      </c>
      <c r="C212" s="14" t="str">
        <f ca="1">IF(Config!A23="","",IFERROR(1-COUNTIF(INDIRECT("'"&amp;Config!A23&amp;"'!B2:B100"),"Overdue")/COUNTA(INDIRECT("'"&amp;Config!A23&amp;"'!A2:A100")),0))</f>
        <v/>
      </c>
      <c r="D212" s="14" t="str">
        <f ca="1">IF(Config!A23="","",IFERROR(1-(COUNTA(INDIRECT("'"&amp;Config!A23&amp;"'!J2:J100"))-COUNTIF(INDIRECT("'"&amp;Config!A23&amp;"'!J2:J100"),"None"))/COUNTA(INDIRECT("'"&amp;Config!A23&amp;"'!A2:A100")),0))</f>
        <v/>
      </c>
      <c r="E212" s="14" t="str" cm="1">
        <f t="array" aca="1" ref="E212" ca="1">IF(Config!A23="","",IFERROR(SUMPRODUCT((INDIRECT("'"&amp;Config!A23&amp;"'!L2:L100")="Must")*(INDIRECT("'"&amp;Config!A23&amp;"'!B2:B100")="Completed"))/MAX(COUNTIF(INDIRECT("'"&amp;Config!A23&amp;"'!L2:L100"),"Must"),1),0))</f>
        <v/>
      </c>
      <c r="F212" s="14" t="str">
        <f>IF(Config!A23="","",IFERROR(AVERAGE(B212:E212),0))</f>
        <v/>
      </c>
    </row>
    <row r="213" spans="1:6" x14ac:dyDescent="0.25">
      <c r="A213" s="7" t="s">
        <v>109</v>
      </c>
      <c r="B213" s="14">
        <f ca="1">AVERAGEIF(B193:B212,"&lt;&gt;")</f>
        <v>0</v>
      </c>
      <c r="C213" s="14">
        <f ca="1">AVERAGEIF(C193:C212,"&lt;&gt;")</f>
        <v>0.98684210526315796</v>
      </c>
      <c r="D213" s="14">
        <f ca="1">AVERAGEIF(D193:D212,"&lt;&gt;")</f>
        <v>0.98684210526315796</v>
      </c>
      <c r="E213" s="14">
        <f ca="1">AVERAGEIF(E193:E212,"&lt;&gt;")</f>
        <v>0</v>
      </c>
      <c r="F213" s="14">
        <f ca="1">AVERAGEIF(F193:F212,"&lt;&gt;")</f>
        <v>0.49342105263157898</v>
      </c>
    </row>
    <row r="215" spans="1:6" x14ac:dyDescent="0.25">
      <c r="A215" s="13" t="s">
        <v>111</v>
      </c>
      <c r="B215" s="8"/>
      <c r="C215" s="8"/>
      <c r="D215" s="8"/>
    </row>
    <row r="216" spans="1:6" x14ac:dyDescent="0.25">
      <c r="A216" s="7" t="s">
        <v>112</v>
      </c>
      <c r="B216" t="s">
        <v>113</v>
      </c>
    </row>
    <row r="217" spans="1:6" x14ac:dyDescent="0.25">
      <c r="A217" s="7" t="s">
        <v>114</v>
      </c>
      <c r="B217" t="s">
        <v>115</v>
      </c>
    </row>
    <row r="218" spans="1:6" x14ac:dyDescent="0.25">
      <c r="A218" s="7" t="s">
        <v>116</v>
      </c>
      <c r="B218" t="s">
        <v>117</v>
      </c>
    </row>
    <row r="219" spans="1:6" x14ac:dyDescent="0.25">
      <c r="A219" s="7" t="s">
        <v>118</v>
      </c>
      <c r="B219" t="s">
        <v>119</v>
      </c>
    </row>
    <row r="220" spans="1:6" x14ac:dyDescent="0.25">
      <c r="A220" s="7" t="s">
        <v>120</v>
      </c>
      <c r="B220" t="s">
        <v>121</v>
      </c>
    </row>
  </sheetData>
  <mergeCells count="13">
    <mergeCell ref="A215:D215"/>
    <mergeCell ref="A110:D110"/>
    <mergeCell ref="A134:E134"/>
    <mergeCell ref="A158:E158"/>
    <mergeCell ref="A182:G182"/>
    <mergeCell ref="A191:F191"/>
    <mergeCell ref="A38:F38"/>
    <mergeCell ref="A62:F62"/>
    <mergeCell ref="A86:D86"/>
    <mergeCell ref="A1:H1"/>
    <mergeCell ref="A2:H2"/>
    <mergeCell ref="A4:C4"/>
    <mergeCell ref="A14:G14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0"/>
  <sheetViews>
    <sheetView workbookViewId="0">
      <selection activeCell="A19" sqref="A19:M19"/>
    </sheetView>
  </sheetViews>
  <sheetFormatPr defaultRowHeight="15" x14ac:dyDescent="0.25"/>
  <cols>
    <col min="1" max="1" width="35" customWidth="1"/>
    <col min="2" max="11" width="15" customWidth="1"/>
  </cols>
  <sheetData>
    <row r="1" spans="1:12" x14ac:dyDescent="0.25">
      <c r="A1" s="2" t="s">
        <v>17</v>
      </c>
      <c r="B1" s="2" t="s">
        <v>18</v>
      </c>
      <c r="C1" s="2" t="s">
        <v>19</v>
      </c>
      <c r="D1" s="2" t="s">
        <v>20</v>
      </c>
      <c r="E1" s="2" t="s">
        <v>8</v>
      </c>
      <c r="F1" s="2" t="s">
        <v>21</v>
      </c>
      <c r="G1" s="2" t="s">
        <v>22</v>
      </c>
      <c r="H1" s="2" t="s">
        <v>23</v>
      </c>
      <c r="I1" s="2" t="s">
        <v>24</v>
      </c>
      <c r="J1" s="2" t="s">
        <v>25</v>
      </c>
      <c r="K1" s="2" t="s">
        <v>26</v>
      </c>
      <c r="L1" s="2" t="s">
        <v>53</v>
      </c>
    </row>
    <row r="2" spans="1:12" x14ac:dyDescent="0.25">
      <c r="A2" s="3" t="s">
        <v>27</v>
      </c>
      <c r="B2" s="3" t="s">
        <v>5</v>
      </c>
      <c r="C2" s="3" t="s">
        <v>28</v>
      </c>
      <c r="D2" s="3" t="s">
        <v>29</v>
      </c>
      <c r="E2" s="3" t="s">
        <v>12</v>
      </c>
      <c r="F2" s="3" t="s">
        <v>21</v>
      </c>
      <c r="G2" s="3" t="s">
        <v>30</v>
      </c>
      <c r="H2" s="4">
        <v>46130.99760775749</v>
      </c>
      <c r="I2" s="4">
        <v>46144.99760775832</v>
      </c>
      <c r="J2" s="3"/>
      <c r="K2" s="5">
        <v>0</v>
      </c>
      <c r="L2" t="s">
        <v>54</v>
      </c>
    </row>
    <row r="3" spans="1:12" x14ac:dyDescent="0.25">
      <c r="A3" t="s">
        <v>32</v>
      </c>
      <c r="B3" t="s">
        <v>5</v>
      </c>
      <c r="C3" t="s">
        <v>28</v>
      </c>
      <c r="D3" t="s">
        <v>29</v>
      </c>
      <c r="E3" t="s">
        <v>12</v>
      </c>
      <c r="F3" t="s">
        <v>21</v>
      </c>
      <c r="G3" t="s">
        <v>30</v>
      </c>
      <c r="H3" s="6">
        <v>46130.997607774123</v>
      </c>
      <c r="I3" s="6">
        <v>46144.997607774407</v>
      </c>
      <c r="K3" s="1">
        <v>0</v>
      </c>
    </row>
    <row r="4" spans="1:12" x14ac:dyDescent="0.25">
      <c r="A4" t="s">
        <v>33</v>
      </c>
      <c r="B4" t="s">
        <v>5</v>
      </c>
      <c r="C4" t="s">
        <v>28</v>
      </c>
      <c r="D4" t="s">
        <v>29</v>
      </c>
      <c r="E4" t="s">
        <v>12</v>
      </c>
      <c r="F4" t="s">
        <v>21</v>
      </c>
      <c r="G4" t="s">
        <v>30</v>
      </c>
      <c r="H4" s="6">
        <v>46130.997607777063</v>
      </c>
      <c r="I4" s="6">
        <v>46144.997607777274</v>
      </c>
      <c r="K4" s="1">
        <v>0</v>
      </c>
      <c r="L4" t="s">
        <v>55</v>
      </c>
    </row>
    <row r="5" spans="1:12" x14ac:dyDescent="0.25">
      <c r="A5" t="s">
        <v>34</v>
      </c>
      <c r="B5" t="s">
        <v>5</v>
      </c>
      <c r="C5" t="s">
        <v>28</v>
      </c>
      <c r="D5" t="s">
        <v>29</v>
      </c>
      <c r="E5" t="s">
        <v>12</v>
      </c>
      <c r="F5" t="s">
        <v>21</v>
      </c>
      <c r="G5" t="s">
        <v>30</v>
      </c>
      <c r="H5" s="6">
        <v>46130.997607781828</v>
      </c>
      <c r="I5" s="6">
        <v>46144.997607782163</v>
      </c>
      <c r="K5" s="1">
        <v>0</v>
      </c>
    </row>
    <row r="6" spans="1:12" x14ac:dyDescent="0.25">
      <c r="A6" s="3" t="s">
        <v>35</v>
      </c>
      <c r="B6" s="3" t="s">
        <v>5</v>
      </c>
      <c r="C6" s="3" t="s">
        <v>36</v>
      </c>
      <c r="D6" s="3" t="s">
        <v>29</v>
      </c>
      <c r="E6" s="3" t="s">
        <v>12</v>
      </c>
      <c r="F6" s="3" t="s">
        <v>21</v>
      </c>
      <c r="G6" s="3" t="s">
        <v>30</v>
      </c>
      <c r="H6" s="4">
        <v>46130.997607785182</v>
      </c>
      <c r="I6" s="4">
        <v>46144.997607785503</v>
      </c>
      <c r="J6" s="3"/>
      <c r="K6" s="5">
        <v>0</v>
      </c>
    </row>
    <row r="7" spans="1:12" x14ac:dyDescent="0.25">
      <c r="A7" t="s">
        <v>37</v>
      </c>
      <c r="B7" t="s">
        <v>5</v>
      </c>
      <c r="C7" t="s">
        <v>36</v>
      </c>
      <c r="D7" t="s">
        <v>29</v>
      </c>
      <c r="E7" t="s">
        <v>12</v>
      </c>
      <c r="F7" t="s">
        <v>21</v>
      </c>
      <c r="G7" t="s">
        <v>30</v>
      </c>
      <c r="H7" s="6">
        <v>46130.997607800397</v>
      </c>
      <c r="I7" s="6">
        <v>46144.997607800658</v>
      </c>
      <c r="K7" s="1">
        <v>0</v>
      </c>
    </row>
    <row r="8" spans="1:12" x14ac:dyDescent="0.25">
      <c r="A8" t="s">
        <v>38</v>
      </c>
      <c r="B8" t="s">
        <v>5</v>
      </c>
      <c r="C8" t="s">
        <v>36</v>
      </c>
      <c r="D8" t="s">
        <v>29</v>
      </c>
      <c r="E8" t="s">
        <v>12</v>
      </c>
      <c r="F8" t="s">
        <v>21</v>
      </c>
      <c r="G8" t="s">
        <v>30</v>
      </c>
      <c r="H8" s="6">
        <v>46130.997607803904</v>
      </c>
      <c r="I8" s="6">
        <v>46144.99760780418</v>
      </c>
      <c r="J8" t="s">
        <v>123</v>
      </c>
      <c r="K8" s="1">
        <v>0</v>
      </c>
    </row>
    <row r="9" spans="1:12" x14ac:dyDescent="0.25">
      <c r="A9" t="s">
        <v>39</v>
      </c>
      <c r="B9" t="s">
        <v>5</v>
      </c>
      <c r="C9" t="s">
        <v>36</v>
      </c>
      <c r="D9" t="s">
        <v>29</v>
      </c>
      <c r="E9" t="s">
        <v>12</v>
      </c>
      <c r="F9" t="s">
        <v>21</v>
      </c>
      <c r="G9" t="s">
        <v>30</v>
      </c>
      <c r="H9" s="6">
        <v>46130.997607807643</v>
      </c>
      <c r="I9" s="6">
        <v>46144.997607807891</v>
      </c>
      <c r="K9" s="1">
        <v>0</v>
      </c>
    </row>
    <row r="10" spans="1:12" x14ac:dyDescent="0.25">
      <c r="A10" t="s">
        <v>40</v>
      </c>
      <c r="B10" t="s">
        <v>5</v>
      </c>
      <c r="C10" t="s">
        <v>36</v>
      </c>
      <c r="D10" t="s">
        <v>29</v>
      </c>
      <c r="E10" t="s">
        <v>12</v>
      </c>
      <c r="F10" t="s">
        <v>21</v>
      </c>
      <c r="G10" t="s">
        <v>30</v>
      </c>
      <c r="H10" s="6">
        <v>46130.997607810568</v>
      </c>
      <c r="I10" s="6">
        <v>46144.99760781075</v>
      </c>
      <c r="K10" s="1">
        <v>0</v>
      </c>
    </row>
    <row r="11" spans="1:12" x14ac:dyDescent="0.25">
      <c r="A11" s="3" t="s">
        <v>41</v>
      </c>
      <c r="B11" s="3" t="s">
        <v>5</v>
      </c>
      <c r="C11" s="3" t="s">
        <v>41</v>
      </c>
      <c r="D11" s="3" t="s">
        <v>29</v>
      </c>
      <c r="E11" s="3" t="s">
        <v>12</v>
      </c>
      <c r="F11" s="3" t="s">
        <v>21</v>
      </c>
      <c r="G11" s="3" t="s">
        <v>30</v>
      </c>
      <c r="H11" s="4">
        <v>46130.997607813653</v>
      </c>
      <c r="I11" s="4">
        <v>46144.997607813937</v>
      </c>
      <c r="J11" s="3"/>
      <c r="K11" s="5">
        <v>0</v>
      </c>
    </row>
    <row r="12" spans="1:12" x14ac:dyDescent="0.25">
      <c r="A12" t="s">
        <v>42</v>
      </c>
      <c r="B12" t="s">
        <v>5</v>
      </c>
      <c r="C12" t="s">
        <v>41</v>
      </c>
      <c r="D12" t="s">
        <v>29</v>
      </c>
      <c r="E12" t="s">
        <v>12</v>
      </c>
      <c r="F12" t="s">
        <v>21</v>
      </c>
      <c r="G12" t="s">
        <v>56</v>
      </c>
      <c r="H12" s="6">
        <v>46130.997607829333</v>
      </c>
      <c r="I12" s="6">
        <v>46144.997607829617</v>
      </c>
      <c r="K12" s="1">
        <v>0</v>
      </c>
    </row>
    <row r="13" spans="1:12" x14ac:dyDescent="0.25">
      <c r="A13" s="3" t="s">
        <v>43</v>
      </c>
      <c r="B13" s="3" t="s">
        <v>5</v>
      </c>
      <c r="C13" s="3" t="s">
        <v>43</v>
      </c>
      <c r="D13" s="3" t="s">
        <v>29</v>
      </c>
      <c r="E13" s="3" t="s">
        <v>12</v>
      </c>
      <c r="F13" s="3" t="s">
        <v>21</v>
      </c>
      <c r="G13" s="3" t="s">
        <v>30</v>
      </c>
      <c r="H13" s="4">
        <v>46130.997607832687</v>
      </c>
      <c r="I13" s="4">
        <v>46144.997607832913</v>
      </c>
      <c r="J13" s="3"/>
      <c r="K13" s="5">
        <v>0</v>
      </c>
    </row>
    <row r="14" spans="1:12" x14ac:dyDescent="0.25">
      <c r="A14" t="s">
        <v>44</v>
      </c>
      <c r="B14" t="s">
        <v>5</v>
      </c>
      <c r="C14" t="s">
        <v>43</v>
      </c>
      <c r="D14" t="s">
        <v>29</v>
      </c>
      <c r="E14" t="s">
        <v>12</v>
      </c>
      <c r="F14" t="s">
        <v>21</v>
      </c>
      <c r="G14" t="s">
        <v>30</v>
      </c>
      <c r="H14" s="6">
        <v>46130.997607847508</v>
      </c>
      <c r="I14" s="6">
        <v>46144.997607847792</v>
      </c>
      <c r="K14" s="1">
        <v>0</v>
      </c>
    </row>
    <row r="15" spans="1:12" x14ac:dyDescent="0.25">
      <c r="A15" t="s">
        <v>45</v>
      </c>
      <c r="B15" t="s">
        <v>4</v>
      </c>
      <c r="C15" t="s">
        <v>43</v>
      </c>
      <c r="D15" t="s">
        <v>29</v>
      </c>
      <c r="E15" t="s">
        <v>12</v>
      </c>
      <c r="F15" t="s">
        <v>21</v>
      </c>
      <c r="G15" t="s">
        <v>122</v>
      </c>
      <c r="H15" s="6">
        <v>46130.997607851234</v>
      </c>
      <c r="I15" s="6">
        <v>46144.997607851437</v>
      </c>
      <c r="K15" s="1">
        <v>0</v>
      </c>
    </row>
    <row r="16" spans="1:12" x14ac:dyDescent="0.25">
      <c r="A16" t="s">
        <v>46</v>
      </c>
      <c r="B16" t="s">
        <v>5</v>
      </c>
      <c r="C16" t="s">
        <v>43</v>
      </c>
      <c r="D16" t="s">
        <v>29</v>
      </c>
      <c r="E16" t="s">
        <v>12</v>
      </c>
      <c r="F16" t="s">
        <v>21</v>
      </c>
      <c r="G16" t="s">
        <v>56</v>
      </c>
      <c r="H16" s="6">
        <v>46130.997607854399</v>
      </c>
      <c r="I16" s="6">
        <v>46144.99760785461</v>
      </c>
      <c r="K16" s="1">
        <v>0</v>
      </c>
    </row>
    <row r="17" spans="1:11" x14ac:dyDescent="0.25">
      <c r="A17" s="3" t="s">
        <v>47</v>
      </c>
      <c r="B17" s="3" t="s">
        <v>5</v>
      </c>
      <c r="C17" s="3" t="s">
        <v>47</v>
      </c>
      <c r="D17" s="3" t="s">
        <v>29</v>
      </c>
      <c r="E17" s="3" t="s">
        <v>12</v>
      </c>
      <c r="F17" s="3" t="s">
        <v>21</v>
      </c>
      <c r="G17" s="3" t="s">
        <v>30</v>
      </c>
      <c r="H17" s="4">
        <v>46130.997607857491</v>
      </c>
      <c r="I17" s="4">
        <v>46144.997607857673</v>
      </c>
      <c r="J17" s="3"/>
      <c r="K17" s="5">
        <v>0</v>
      </c>
    </row>
    <row r="18" spans="1:11" x14ac:dyDescent="0.25">
      <c r="A18" t="s">
        <v>48</v>
      </c>
      <c r="B18" t="s">
        <v>5</v>
      </c>
      <c r="C18" t="s">
        <v>47</v>
      </c>
      <c r="D18" t="s">
        <v>29</v>
      </c>
      <c r="E18" t="s">
        <v>12</v>
      </c>
      <c r="F18" t="s">
        <v>21</v>
      </c>
      <c r="G18" t="s">
        <v>122</v>
      </c>
      <c r="H18" s="6">
        <v>46130.997607873403</v>
      </c>
      <c r="I18" s="6">
        <v>46144.997607873687</v>
      </c>
      <c r="K18" s="1">
        <v>0</v>
      </c>
    </row>
    <row r="19" spans="1:11" x14ac:dyDescent="0.25">
      <c r="A19" t="s">
        <v>49</v>
      </c>
      <c r="B19" t="s">
        <v>5</v>
      </c>
      <c r="C19" t="s">
        <v>47</v>
      </c>
      <c r="D19" t="s">
        <v>29</v>
      </c>
      <c r="E19" t="s">
        <v>14</v>
      </c>
      <c r="F19" t="s">
        <v>21</v>
      </c>
      <c r="G19" t="s">
        <v>122</v>
      </c>
      <c r="H19" s="6">
        <v>46130.99760787726</v>
      </c>
      <c r="I19" s="6">
        <v>46144.997607877543</v>
      </c>
      <c r="K19" s="1">
        <v>0</v>
      </c>
    </row>
    <row r="20" spans="1:11" x14ac:dyDescent="0.25">
      <c r="A20" t="s">
        <v>50</v>
      </c>
      <c r="B20" t="s">
        <v>5</v>
      </c>
      <c r="C20" t="s">
        <v>47</v>
      </c>
      <c r="D20" t="s">
        <v>29</v>
      </c>
      <c r="E20" t="s">
        <v>12</v>
      </c>
      <c r="F20" t="s">
        <v>21</v>
      </c>
      <c r="G20" t="s">
        <v>122</v>
      </c>
      <c r="H20" s="6">
        <v>46130.99760788065</v>
      </c>
      <c r="I20" s="6">
        <v>46144.997607880847</v>
      </c>
      <c r="K20" s="1">
        <v>0</v>
      </c>
    </row>
  </sheetData>
  <dataValidations count="6">
    <dataValidation type="list" allowBlank="1" sqref="B2 B3 B4 B5 B6 B7 B8 B9 B10 B11 B12 B13 B14 B15 B16 B17 B18 B19 B20" xr:uid="{00000000-0002-0000-0100-000000000000}">
      <formula1>"Not Started,In Progress,Completed,Overdue"</formula1>
    </dataValidation>
    <dataValidation type="list" allowBlank="1" sqref="C2 C3 C4 C5 C6 C7 C8 C9 C10 C11 C12 C13 C14 C15 C16 C17 C18 C19 C20" xr:uid="{00000000-0002-0000-0100-000001000000}">
      <formula1>"Planning,Requirements,Design,Implementation,Monitoring"</formula1>
    </dataValidation>
    <dataValidation type="list" allowBlank="1" sqref="D2 D3 D4 D5 D6 D7 D8 D9 D10 D11 D12 D13 D14 D15 D16 D17 D18 D19 D20" xr:uid="{00000000-0002-0000-0100-000002000000}">
      <formula1>"admin,development,research,meetings"</formula1>
    </dataValidation>
    <dataValidation type="list" allowBlank="1" sqref="E2 E3 E4 E5 E6 E7 E8 E9 E10 E11 E12 E13 E14 E15 E16 E17 E18 E19 E20" xr:uid="{00000000-0002-0000-0100-000003000000}">
      <formula1>"High,Medium,Low"</formula1>
    </dataValidation>
    <dataValidation type="list" allowBlank="1" sqref="G2 G3 G4 G5 G6 G7 G8 G9 G10 G11 G12 G13 G14 G15 G16 G17 G18 G19 G20" xr:uid="{00000000-0002-0000-0100-000004000000}">
      <formula1>"required,nice to have,should have"</formula1>
    </dataValidation>
    <dataValidation type="list" allowBlank="1" showInputMessage="1" showErrorMessage="1" sqref="L2:L20" xr:uid="{B5D103BC-BE8F-4C43-B544-78916A748D97}">
      <formula1>"Must,Should,Could,Wont,Want"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20"/>
  <sheetViews>
    <sheetView workbookViewId="0">
      <selection activeCell="J23" sqref="J23"/>
    </sheetView>
  </sheetViews>
  <sheetFormatPr defaultRowHeight="15" x14ac:dyDescent="0.25"/>
  <cols>
    <col min="1" max="1" width="35" customWidth="1"/>
    <col min="2" max="11" width="15" customWidth="1"/>
    <col min="12" max="12" width="12.42578125" bestFit="1" customWidth="1"/>
  </cols>
  <sheetData>
    <row r="1" spans="1:12" x14ac:dyDescent="0.25">
      <c r="A1" s="2" t="s">
        <v>17</v>
      </c>
      <c r="B1" s="2" t="s">
        <v>18</v>
      </c>
      <c r="C1" s="2" t="s">
        <v>19</v>
      </c>
      <c r="D1" s="2" t="s">
        <v>20</v>
      </c>
      <c r="E1" s="2" t="s">
        <v>8</v>
      </c>
      <c r="F1" s="2" t="s">
        <v>21</v>
      </c>
      <c r="G1" s="2" t="s">
        <v>22</v>
      </c>
      <c r="H1" s="2" t="s">
        <v>23</v>
      </c>
      <c r="I1" s="2" t="s">
        <v>24</v>
      </c>
      <c r="J1" s="2" t="s">
        <v>25</v>
      </c>
      <c r="K1" s="2" t="s">
        <v>26</v>
      </c>
      <c r="L1" s="2" t="s">
        <v>53</v>
      </c>
    </row>
    <row r="2" spans="1:12" x14ac:dyDescent="0.25">
      <c r="A2" s="3" t="s">
        <v>27</v>
      </c>
      <c r="B2" s="3" t="s">
        <v>5</v>
      </c>
      <c r="C2" s="3" t="s">
        <v>28</v>
      </c>
      <c r="D2" s="3" t="s">
        <v>29</v>
      </c>
      <c r="E2" s="3" t="s">
        <v>12</v>
      </c>
      <c r="F2" s="3" t="s">
        <v>21</v>
      </c>
      <c r="G2" s="3" t="s">
        <v>30</v>
      </c>
      <c r="H2" s="4">
        <v>46130.99760790859</v>
      </c>
      <c r="I2" s="4">
        <v>46144.99760790891</v>
      </c>
      <c r="J2" s="3" t="s">
        <v>31</v>
      </c>
      <c r="K2" s="5">
        <v>0</v>
      </c>
    </row>
    <row r="3" spans="1:12" x14ac:dyDescent="0.25">
      <c r="A3" t="s">
        <v>32</v>
      </c>
      <c r="B3" t="s">
        <v>5</v>
      </c>
      <c r="C3" t="s">
        <v>28</v>
      </c>
      <c r="D3" t="s">
        <v>29</v>
      </c>
      <c r="E3" t="s">
        <v>12</v>
      </c>
      <c r="F3" t="s">
        <v>21</v>
      </c>
      <c r="G3" t="s">
        <v>30</v>
      </c>
      <c r="H3" s="6">
        <v>46130.997607940248</v>
      </c>
      <c r="I3" s="6">
        <v>46144.997607940808</v>
      </c>
      <c r="J3" t="s">
        <v>31</v>
      </c>
      <c r="K3" s="1">
        <v>0</v>
      </c>
    </row>
    <row r="4" spans="1:12" x14ac:dyDescent="0.25">
      <c r="A4" t="s">
        <v>33</v>
      </c>
      <c r="B4" t="s">
        <v>5</v>
      </c>
      <c r="C4" t="s">
        <v>28</v>
      </c>
      <c r="D4" t="s">
        <v>29</v>
      </c>
      <c r="E4" t="s">
        <v>12</v>
      </c>
      <c r="F4" t="s">
        <v>21</v>
      </c>
      <c r="G4" t="s">
        <v>30</v>
      </c>
      <c r="H4" s="6">
        <v>46130.997607943777</v>
      </c>
      <c r="I4" s="6">
        <v>46144.997607943988</v>
      </c>
      <c r="J4" t="s">
        <v>31</v>
      </c>
      <c r="K4" s="1">
        <v>0</v>
      </c>
    </row>
    <row r="5" spans="1:12" x14ac:dyDescent="0.25">
      <c r="A5" t="s">
        <v>34</v>
      </c>
      <c r="B5" t="s">
        <v>5</v>
      </c>
      <c r="C5" t="s">
        <v>28</v>
      </c>
      <c r="D5" t="s">
        <v>29</v>
      </c>
      <c r="E5" t="s">
        <v>12</v>
      </c>
      <c r="F5" t="s">
        <v>21</v>
      </c>
      <c r="G5" t="s">
        <v>30</v>
      </c>
      <c r="H5" s="6">
        <v>46130.997607946432</v>
      </c>
      <c r="I5" s="6">
        <v>46144.997607946629</v>
      </c>
      <c r="J5" t="s">
        <v>31</v>
      </c>
      <c r="K5" s="1">
        <v>0</v>
      </c>
    </row>
    <row r="6" spans="1:12" x14ac:dyDescent="0.25">
      <c r="A6" s="3" t="s">
        <v>35</v>
      </c>
      <c r="B6" s="3" t="s">
        <v>5</v>
      </c>
      <c r="C6" s="3" t="s">
        <v>36</v>
      </c>
      <c r="D6" s="3" t="s">
        <v>29</v>
      </c>
      <c r="E6" s="3" t="s">
        <v>12</v>
      </c>
      <c r="F6" s="3" t="s">
        <v>21</v>
      </c>
      <c r="G6" s="3" t="s">
        <v>30</v>
      </c>
      <c r="H6" s="4">
        <v>46130.997607949314</v>
      </c>
      <c r="I6" s="4">
        <v>46144.997607949539</v>
      </c>
      <c r="J6" s="3" t="s">
        <v>31</v>
      </c>
      <c r="K6" s="5">
        <v>0</v>
      </c>
    </row>
    <row r="7" spans="1:12" x14ac:dyDescent="0.25">
      <c r="A7" t="s">
        <v>37</v>
      </c>
      <c r="B7" t="s">
        <v>5</v>
      </c>
      <c r="C7" t="s">
        <v>36</v>
      </c>
      <c r="D7" t="s">
        <v>29</v>
      </c>
      <c r="E7" t="s">
        <v>12</v>
      </c>
      <c r="F7" t="s">
        <v>21</v>
      </c>
      <c r="G7" t="s">
        <v>30</v>
      </c>
      <c r="H7" s="6">
        <v>46130.99760796436</v>
      </c>
      <c r="I7" s="6">
        <v>46144.997607964673</v>
      </c>
      <c r="J7" t="s">
        <v>31</v>
      </c>
      <c r="K7" s="1">
        <v>0</v>
      </c>
    </row>
    <row r="8" spans="1:12" x14ac:dyDescent="0.25">
      <c r="A8" t="s">
        <v>38</v>
      </c>
      <c r="B8" t="s">
        <v>5</v>
      </c>
      <c r="C8" t="s">
        <v>36</v>
      </c>
      <c r="D8" t="s">
        <v>29</v>
      </c>
      <c r="E8" t="s">
        <v>12</v>
      </c>
      <c r="F8" t="s">
        <v>21</v>
      </c>
      <c r="G8" t="s">
        <v>30</v>
      </c>
      <c r="H8" s="6">
        <v>46130.997607967569</v>
      </c>
      <c r="I8" s="6">
        <v>46144.997607967802</v>
      </c>
      <c r="J8" t="s">
        <v>31</v>
      </c>
      <c r="K8" s="1">
        <v>0</v>
      </c>
    </row>
    <row r="9" spans="1:12" x14ac:dyDescent="0.25">
      <c r="A9" t="s">
        <v>39</v>
      </c>
      <c r="B9" t="s">
        <v>5</v>
      </c>
      <c r="C9" t="s">
        <v>36</v>
      </c>
      <c r="D9" t="s">
        <v>29</v>
      </c>
      <c r="E9" t="s">
        <v>12</v>
      </c>
      <c r="F9" t="s">
        <v>21</v>
      </c>
      <c r="G9" t="s">
        <v>30</v>
      </c>
      <c r="H9" s="6">
        <v>46130.997607971083</v>
      </c>
      <c r="I9" s="6">
        <v>46144.997607971323</v>
      </c>
      <c r="J9" t="s">
        <v>31</v>
      </c>
      <c r="K9" s="1">
        <v>0</v>
      </c>
    </row>
    <row r="10" spans="1:12" x14ac:dyDescent="0.25">
      <c r="A10" t="s">
        <v>40</v>
      </c>
      <c r="B10" t="s">
        <v>5</v>
      </c>
      <c r="C10" t="s">
        <v>36</v>
      </c>
      <c r="D10" t="s">
        <v>29</v>
      </c>
      <c r="E10" t="s">
        <v>12</v>
      </c>
      <c r="F10" t="s">
        <v>21</v>
      </c>
      <c r="G10" t="s">
        <v>30</v>
      </c>
      <c r="H10" s="6">
        <v>46130.997607973914</v>
      </c>
      <c r="I10" s="6">
        <v>46144.997607974088</v>
      </c>
      <c r="J10" t="s">
        <v>31</v>
      </c>
      <c r="K10" s="1">
        <v>0</v>
      </c>
      <c r="L10" t="s">
        <v>55</v>
      </c>
    </row>
    <row r="11" spans="1:12" x14ac:dyDescent="0.25">
      <c r="A11" s="3" t="s">
        <v>41</v>
      </c>
      <c r="B11" s="3" t="s">
        <v>5</v>
      </c>
      <c r="C11" s="3" t="s">
        <v>41</v>
      </c>
      <c r="D11" s="3" t="s">
        <v>29</v>
      </c>
      <c r="E11" s="3" t="s">
        <v>12</v>
      </c>
      <c r="F11" s="3" t="s">
        <v>21</v>
      </c>
      <c r="G11" s="3" t="s">
        <v>30</v>
      </c>
      <c r="H11" s="4">
        <v>46130.997607977268</v>
      </c>
      <c r="I11" s="4">
        <v>46144.997607977537</v>
      </c>
      <c r="J11" s="3" t="s">
        <v>31</v>
      </c>
      <c r="K11" s="5">
        <v>0</v>
      </c>
    </row>
    <row r="12" spans="1:12" x14ac:dyDescent="0.25">
      <c r="A12" t="s">
        <v>42</v>
      </c>
      <c r="B12" t="s">
        <v>5</v>
      </c>
      <c r="C12" t="s">
        <v>41</v>
      </c>
      <c r="D12" t="s">
        <v>29</v>
      </c>
      <c r="E12" t="s">
        <v>12</v>
      </c>
      <c r="F12" t="s">
        <v>21</v>
      </c>
      <c r="G12" t="s">
        <v>30</v>
      </c>
      <c r="H12" s="6">
        <v>46130.997607992329</v>
      </c>
      <c r="I12" s="6">
        <v>46144.997607992576</v>
      </c>
      <c r="J12" t="s">
        <v>31</v>
      </c>
      <c r="K12" s="1">
        <v>0</v>
      </c>
    </row>
    <row r="13" spans="1:12" x14ac:dyDescent="0.25">
      <c r="A13" s="3" t="s">
        <v>43</v>
      </c>
      <c r="B13" s="3" t="s">
        <v>5</v>
      </c>
      <c r="C13" s="3" t="s">
        <v>43</v>
      </c>
      <c r="D13" s="3" t="s">
        <v>29</v>
      </c>
      <c r="E13" s="3" t="s">
        <v>12</v>
      </c>
      <c r="F13" s="3" t="s">
        <v>21</v>
      </c>
      <c r="G13" s="3" t="s">
        <v>30</v>
      </c>
      <c r="H13" s="4">
        <v>46130.997607995487</v>
      </c>
      <c r="I13" s="4">
        <v>46144.997607995698</v>
      </c>
      <c r="J13" s="3" t="s">
        <v>31</v>
      </c>
      <c r="K13" s="5">
        <v>0</v>
      </c>
    </row>
    <row r="14" spans="1:12" x14ac:dyDescent="0.25">
      <c r="A14" t="s">
        <v>44</v>
      </c>
      <c r="B14" t="s">
        <v>5</v>
      </c>
      <c r="C14" t="s">
        <v>43</v>
      </c>
      <c r="D14" t="s">
        <v>29</v>
      </c>
      <c r="E14" t="s">
        <v>12</v>
      </c>
      <c r="F14" t="s">
        <v>21</v>
      </c>
      <c r="G14" t="s">
        <v>30</v>
      </c>
      <c r="H14" s="6">
        <v>46130.997608010912</v>
      </c>
      <c r="I14" s="6">
        <v>46144.997608011203</v>
      </c>
      <c r="J14" t="s">
        <v>31</v>
      </c>
      <c r="K14" s="1">
        <v>0</v>
      </c>
    </row>
    <row r="15" spans="1:12" x14ac:dyDescent="0.25">
      <c r="A15" t="s">
        <v>45</v>
      </c>
      <c r="B15" t="s">
        <v>5</v>
      </c>
      <c r="C15" t="s">
        <v>43</v>
      </c>
      <c r="D15" t="s">
        <v>29</v>
      </c>
      <c r="E15" t="s">
        <v>12</v>
      </c>
      <c r="F15" t="s">
        <v>21</v>
      </c>
      <c r="G15" t="s">
        <v>30</v>
      </c>
      <c r="H15" s="6">
        <v>46130.997608014302</v>
      </c>
      <c r="I15" s="6">
        <v>46144.997608014513</v>
      </c>
      <c r="J15" t="s">
        <v>31</v>
      </c>
      <c r="K15" s="1">
        <v>0</v>
      </c>
    </row>
    <row r="16" spans="1:12" x14ac:dyDescent="0.25">
      <c r="A16" t="s">
        <v>46</v>
      </c>
      <c r="B16" t="s">
        <v>5</v>
      </c>
      <c r="C16" t="s">
        <v>43</v>
      </c>
      <c r="D16" t="s">
        <v>29</v>
      </c>
      <c r="E16" t="s">
        <v>12</v>
      </c>
      <c r="F16" t="s">
        <v>21</v>
      </c>
      <c r="G16" t="s">
        <v>30</v>
      </c>
      <c r="H16" s="6">
        <v>46130.997608017387</v>
      </c>
      <c r="I16" s="6">
        <v>46144.997608017591</v>
      </c>
      <c r="J16" t="s">
        <v>31</v>
      </c>
      <c r="K16" s="1">
        <v>0</v>
      </c>
      <c r="L16" t="s">
        <v>54</v>
      </c>
    </row>
    <row r="17" spans="1:12" x14ac:dyDescent="0.25">
      <c r="A17" s="3" t="s">
        <v>47</v>
      </c>
      <c r="B17" s="3" t="s">
        <v>5</v>
      </c>
      <c r="C17" s="3" t="s">
        <v>47</v>
      </c>
      <c r="D17" s="3" t="s">
        <v>29</v>
      </c>
      <c r="E17" s="3" t="s">
        <v>12</v>
      </c>
      <c r="F17" s="3" t="s">
        <v>21</v>
      </c>
      <c r="G17" s="3" t="s">
        <v>30</v>
      </c>
      <c r="H17" s="4">
        <v>46130.997608020392</v>
      </c>
      <c r="I17" s="4">
        <v>46144.997608020567</v>
      </c>
      <c r="J17" s="3" t="s">
        <v>31</v>
      </c>
      <c r="K17" s="5">
        <v>0</v>
      </c>
    </row>
    <row r="18" spans="1:12" x14ac:dyDescent="0.25">
      <c r="A18" t="s">
        <v>48</v>
      </c>
      <c r="B18" t="s">
        <v>5</v>
      </c>
      <c r="C18" t="s">
        <v>47</v>
      </c>
      <c r="D18" t="s">
        <v>29</v>
      </c>
      <c r="E18" t="s">
        <v>12</v>
      </c>
      <c r="F18" t="s">
        <v>21</v>
      </c>
      <c r="G18" t="s">
        <v>30</v>
      </c>
      <c r="H18" s="6">
        <v>46130.997608036632</v>
      </c>
      <c r="I18" s="6">
        <v>46144.997608036902</v>
      </c>
      <c r="J18" t="s">
        <v>31</v>
      </c>
      <c r="K18" s="1">
        <v>0</v>
      </c>
      <c r="L18" t="s">
        <v>54</v>
      </c>
    </row>
    <row r="19" spans="1:12" x14ac:dyDescent="0.25">
      <c r="A19" t="s">
        <v>49</v>
      </c>
      <c r="B19" t="s">
        <v>5</v>
      </c>
      <c r="C19" t="s">
        <v>47</v>
      </c>
      <c r="D19" t="s">
        <v>29</v>
      </c>
      <c r="E19" t="s">
        <v>12</v>
      </c>
      <c r="F19" t="s">
        <v>21</v>
      </c>
      <c r="G19" t="s">
        <v>30</v>
      </c>
      <c r="H19" s="6">
        <v>46130.997608040183</v>
      </c>
      <c r="I19" s="6">
        <v>46144.997608040379</v>
      </c>
      <c r="J19" t="s">
        <v>31</v>
      </c>
      <c r="K19" s="1">
        <v>0</v>
      </c>
    </row>
    <row r="20" spans="1:12" x14ac:dyDescent="0.25">
      <c r="A20" t="s">
        <v>50</v>
      </c>
      <c r="B20" t="s">
        <v>5</v>
      </c>
      <c r="C20" t="s">
        <v>47</v>
      </c>
      <c r="D20" t="s">
        <v>29</v>
      </c>
      <c r="E20" t="s">
        <v>12</v>
      </c>
      <c r="F20" t="s">
        <v>21</v>
      </c>
      <c r="G20" t="s">
        <v>30</v>
      </c>
      <c r="H20" s="6">
        <v>46130.997608043348</v>
      </c>
      <c r="I20" s="6">
        <v>46144.997608043523</v>
      </c>
      <c r="J20" t="s">
        <v>31</v>
      </c>
      <c r="K20" s="1">
        <v>0</v>
      </c>
      <c r="L20" t="s">
        <v>82</v>
      </c>
    </row>
  </sheetData>
  <dataValidations count="6">
    <dataValidation type="list" allowBlank="1" sqref="B2 B3 B4 B5 B6 B7 B8 B9 B10 B11 B12 B13 B14 B15 B16 B17 B18 B19 B20" xr:uid="{00000000-0002-0000-0200-000000000000}">
      <formula1>"Not Started,In Progress,Completed,Overdue"</formula1>
    </dataValidation>
    <dataValidation type="list" allowBlank="1" sqref="C2 C3 C4 C5 C6 C7 C8 C9 C10 C11 C12 C13 C14 C15 C16 C17 C18 C19 C20" xr:uid="{00000000-0002-0000-0200-000001000000}">
      <formula1>"Planning,Requirements,Design,Implementation,Monitoring"</formula1>
    </dataValidation>
    <dataValidation type="list" allowBlank="1" sqref="D2 D3 D4 D5 D6 D7 D8 D9 D10 D11 D12 D13 D14 D15 D16 D17 D18 D19 D20" xr:uid="{00000000-0002-0000-0200-000002000000}">
      <formula1>"admin,development,research,meetings"</formula1>
    </dataValidation>
    <dataValidation type="list" allowBlank="1" sqref="E2 E3 E4 E5 E6 E7 E8 E9 E10 E11 E12 E13 E14 E15 E16 E17 E18 E19 E20" xr:uid="{00000000-0002-0000-0200-000003000000}">
      <formula1>"High,Medium,Low"</formula1>
    </dataValidation>
    <dataValidation type="list" allowBlank="1" sqref="G2 G3 G4 G5 G6 G7 G8 G9 G10 G11 G12 G13 G14 G15 G16 G17 G18 G19 G20" xr:uid="{00000000-0002-0000-0200-000004000000}">
      <formula1>"required,nice to have,should have"</formula1>
    </dataValidation>
    <dataValidation type="list" allowBlank="1" showInputMessage="1" showErrorMessage="1" sqref="L2:L20" xr:uid="{BA5E6B5B-2173-4346-82DF-EE0F4EC5AAFD}">
      <formula1>"Must,Should,Could,Wont,Want"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20"/>
  <sheetViews>
    <sheetView workbookViewId="0"/>
  </sheetViews>
  <sheetFormatPr defaultRowHeight="15" x14ac:dyDescent="0.25"/>
  <cols>
    <col min="1" max="1" width="35" customWidth="1"/>
    <col min="2" max="11" width="15" customWidth="1"/>
  </cols>
  <sheetData>
    <row r="1" spans="1:12" x14ac:dyDescent="0.25">
      <c r="A1" s="2" t="s">
        <v>17</v>
      </c>
      <c r="B1" s="2" t="s">
        <v>18</v>
      </c>
      <c r="C1" s="2" t="s">
        <v>19</v>
      </c>
      <c r="D1" s="2" t="s">
        <v>20</v>
      </c>
      <c r="E1" s="2" t="s">
        <v>8</v>
      </c>
      <c r="F1" s="2" t="s">
        <v>21</v>
      </c>
      <c r="G1" s="2" t="s">
        <v>22</v>
      </c>
      <c r="H1" s="2" t="s">
        <v>23</v>
      </c>
      <c r="I1" s="2" t="s">
        <v>24</v>
      </c>
      <c r="J1" s="2" t="s">
        <v>25</v>
      </c>
      <c r="K1" s="2" t="s">
        <v>26</v>
      </c>
      <c r="L1" s="2" t="s">
        <v>53</v>
      </c>
    </row>
    <row r="2" spans="1:12" x14ac:dyDescent="0.25">
      <c r="A2" s="3" t="s">
        <v>27</v>
      </c>
      <c r="B2" s="3" t="s">
        <v>5</v>
      </c>
      <c r="C2" s="3" t="s">
        <v>28</v>
      </c>
      <c r="D2" s="3" t="s">
        <v>29</v>
      </c>
      <c r="E2" s="3" t="s">
        <v>12</v>
      </c>
      <c r="F2" s="3" t="s">
        <v>21</v>
      </c>
      <c r="G2" s="3" t="s">
        <v>30</v>
      </c>
      <c r="H2" s="4">
        <v>46130.99760807104</v>
      </c>
      <c r="I2" s="4">
        <v>46144.99760807139</v>
      </c>
      <c r="J2" s="3" t="s">
        <v>31</v>
      </c>
      <c r="K2" s="5">
        <v>0</v>
      </c>
    </row>
    <row r="3" spans="1:12" x14ac:dyDescent="0.25">
      <c r="A3" t="s">
        <v>32</v>
      </c>
      <c r="B3" t="s">
        <v>5</v>
      </c>
      <c r="C3" t="s">
        <v>28</v>
      </c>
      <c r="D3" t="s">
        <v>29</v>
      </c>
      <c r="E3" t="s">
        <v>12</v>
      </c>
      <c r="F3" t="s">
        <v>21</v>
      </c>
      <c r="G3" t="s">
        <v>30</v>
      </c>
      <c r="H3" s="6">
        <v>46130.997608086072</v>
      </c>
      <c r="I3" s="6">
        <v>46144.997608086342</v>
      </c>
      <c r="J3" t="s">
        <v>31</v>
      </c>
      <c r="K3" s="1">
        <v>0</v>
      </c>
    </row>
    <row r="4" spans="1:12" x14ac:dyDescent="0.25">
      <c r="A4" t="s">
        <v>33</v>
      </c>
      <c r="B4" t="s">
        <v>5</v>
      </c>
      <c r="C4" t="s">
        <v>28</v>
      </c>
      <c r="D4" t="s">
        <v>29</v>
      </c>
      <c r="E4" t="s">
        <v>12</v>
      </c>
      <c r="F4" t="s">
        <v>21</v>
      </c>
      <c r="G4" t="s">
        <v>30</v>
      </c>
      <c r="H4" s="6">
        <v>46130.997608090023</v>
      </c>
      <c r="I4" s="6">
        <v>46144.997608090263</v>
      </c>
      <c r="J4" t="s">
        <v>31</v>
      </c>
      <c r="K4" s="1">
        <v>0</v>
      </c>
    </row>
    <row r="5" spans="1:12" x14ac:dyDescent="0.25">
      <c r="A5" t="s">
        <v>34</v>
      </c>
      <c r="B5" t="s">
        <v>5</v>
      </c>
      <c r="C5" t="s">
        <v>28</v>
      </c>
      <c r="D5" t="s">
        <v>29</v>
      </c>
      <c r="E5" t="s">
        <v>12</v>
      </c>
      <c r="F5" t="s">
        <v>21</v>
      </c>
      <c r="G5" t="s">
        <v>30</v>
      </c>
      <c r="H5" s="6">
        <v>46130.997608093297</v>
      </c>
      <c r="I5" s="6">
        <v>46144.997608093603</v>
      </c>
      <c r="J5" t="s">
        <v>31</v>
      </c>
      <c r="K5" s="1">
        <v>0</v>
      </c>
    </row>
    <row r="6" spans="1:12" x14ac:dyDescent="0.25">
      <c r="A6" s="3" t="s">
        <v>35</v>
      </c>
      <c r="B6" s="3" t="s">
        <v>5</v>
      </c>
      <c r="C6" s="3" t="s">
        <v>36</v>
      </c>
      <c r="D6" s="3" t="s">
        <v>29</v>
      </c>
      <c r="E6" s="3" t="s">
        <v>12</v>
      </c>
      <c r="F6" s="3" t="s">
        <v>21</v>
      </c>
      <c r="G6" s="3" t="s">
        <v>30</v>
      </c>
      <c r="H6" s="4">
        <v>46130.997608096288</v>
      </c>
      <c r="I6" s="4">
        <v>46144.997608096593</v>
      </c>
      <c r="J6" s="3" t="s">
        <v>31</v>
      </c>
      <c r="K6" s="5">
        <v>0</v>
      </c>
    </row>
    <row r="7" spans="1:12" x14ac:dyDescent="0.25">
      <c r="A7" t="s">
        <v>37</v>
      </c>
      <c r="B7" t="s">
        <v>5</v>
      </c>
      <c r="C7" t="s">
        <v>36</v>
      </c>
      <c r="D7" t="s">
        <v>29</v>
      </c>
      <c r="E7" t="s">
        <v>12</v>
      </c>
      <c r="F7" t="s">
        <v>21</v>
      </c>
      <c r="G7" t="s">
        <v>30</v>
      </c>
      <c r="H7" s="6">
        <v>46130.997608111436</v>
      </c>
      <c r="I7" s="6">
        <v>46144.997608111727</v>
      </c>
      <c r="J7" t="s">
        <v>31</v>
      </c>
      <c r="K7" s="1">
        <v>0</v>
      </c>
    </row>
    <row r="8" spans="1:12" x14ac:dyDescent="0.25">
      <c r="A8" t="s">
        <v>38</v>
      </c>
      <c r="B8" t="s">
        <v>5</v>
      </c>
      <c r="C8" t="s">
        <v>36</v>
      </c>
      <c r="D8" t="s">
        <v>29</v>
      </c>
      <c r="E8" t="s">
        <v>12</v>
      </c>
      <c r="F8" t="s">
        <v>21</v>
      </c>
      <c r="G8" t="s">
        <v>30</v>
      </c>
      <c r="H8" s="6">
        <v>46130.997608114987</v>
      </c>
      <c r="I8" s="6">
        <v>46144.9976081153</v>
      </c>
      <c r="J8" t="s">
        <v>31</v>
      </c>
      <c r="K8" s="1">
        <v>0</v>
      </c>
    </row>
    <row r="9" spans="1:12" x14ac:dyDescent="0.25">
      <c r="A9" t="s">
        <v>39</v>
      </c>
      <c r="B9" t="s">
        <v>5</v>
      </c>
      <c r="C9" t="s">
        <v>36</v>
      </c>
      <c r="D9" t="s">
        <v>29</v>
      </c>
      <c r="E9" t="s">
        <v>12</v>
      </c>
      <c r="F9" t="s">
        <v>21</v>
      </c>
      <c r="G9" t="s">
        <v>30</v>
      </c>
      <c r="H9" s="6">
        <v>46130.997608118203</v>
      </c>
      <c r="I9" s="6">
        <v>46144.997608118429</v>
      </c>
      <c r="J9" t="s">
        <v>31</v>
      </c>
      <c r="K9" s="1">
        <v>0</v>
      </c>
    </row>
    <row r="10" spans="1:12" x14ac:dyDescent="0.25">
      <c r="A10" t="s">
        <v>40</v>
      </c>
      <c r="B10" t="s">
        <v>5</v>
      </c>
      <c r="C10" t="s">
        <v>36</v>
      </c>
      <c r="D10" t="s">
        <v>29</v>
      </c>
      <c r="E10" t="s">
        <v>12</v>
      </c>
      <c r="F10" t="s">
        <v>21</v>
      </c>
      <c r="G10" t="s">
        <v>30</v>
      </c>
      <c r="H10" s="6">
        <v>46130.997608121041</v>
      </c>
      <c r="I10" s="6">
        <v>46144.99760812123</v>
      </c>
      <c r="J10" t="s">
        <v>31</v>
      </c>
      <c r="K10" s="1">
        <v>0</v>
      </c>
    </row>
    <row r="11" spans="1:12" x14ac:dyDescent="0.25">
      <c r="A11" s="3" t="s">
        <v>41</v>
      </c>
      <c r="B11" s="3" t="s">
        <v>5</v>
      </c>
      <c r="C11" s="3" t="s">
        <v>41</v>
      </c>
      <c r="D11" s="3" t="s">
        <v>29</v>
      </c>
      <c r="E11" s="3" t="s">
        <v>12</v>
      </c>
      <c r="F11" s="3" t="s">
        <v>21</v>
      </c>
      <c r="G11" s="3" t="s">
        <v>30</v>
      </c>
      <c r="H11" s="4">
        <v>46130.997608123893</v>
      </c>
      <c r="I11" s="4">
        <v>46144.997608124067</v>
      </c>
      <c r="J11" s="3" t="s">
        <v>31</v>
      </c>
      <c r="K11" s="5">
        <v>0</v>
      </c>
    </row>
    <row r="12" spans="1:12" x14ac:dyDescent="0.25">
      <c r="A12" t="s">
        <v>42</v>
      </c>
      <c r="B12" t="s">
        <v>5</v>
      </c>
      <c r="C12" t="s">
        <v>41</v>
      </c>
      <c r="D12" t="s">
        <v>29</v>
      </c>
      <c r="E12" t="s">
        <v>12</v>
      </c>
      <c r="F12" t="s">
        <v>21</v>
      </c>
      <c r="G12" t="s">
        <v>30</v>
      </c>
      <c r="H12" s="6">
        <v>46130.997608139201</v>
      </c>
      <c r="I12" s="6">
        <v>46144.997608139704</v>
      </c>
      <c r="J12" t="s">
        <v>31</v>
      </c>
      <c r="K12" s="1">
        <v>0</v>
      </c>
    </row>
    <row r="13" spans="1:12" x14ac:dyDescent="0.25">
      <c r="A13" s="3" t="s">
        <v>43</v>
      </c>
      <c r="B13" s="3" t="s">
        <v>5</v>
      </c>
      <c r="C13" s="3" t="s">
        <v>43</v>
      </c>
      <c r="D13" s="3" t="s">
        <v>29</v>
      </c>
      <c r="E13" s="3" t="s">
        <v>12</v>
      </c>
      <c r="F13" s="3" t="s">
        <v>21</v>
      </c>
      <c r="G13" s="3" t="s">
        <v>30</v>
      </c>
      <c r="H13" s="4">
        <v>46130.99760814316</v>
      </c>
      <c r="I13" s="4">
        <v>46144.997608143458</v>
      </c>
      <c r="J13" s="3" t="s">
        <v>31</v>
      </c>
      <c r="K13" s="5">
        <v>0</v>
      </c>
    </row>
    <row r="14" spans="1:12" x14ac:dyDescent="0.25">
      <c r="A14" t="s">
        <v>44</v>
      </c>
      <c r="B14" t="s">
        <v>5</v>
      </c>
      <c r="C14" t="s">
        <v>43</v>
      </c>
      <c r="D14" t="s">
        <v>29</v>
      </c>
      <c r="E14" t="s">
        <v>12</v>
      </c>
      <c r="F14" t="s">
        <v>21</v>
      </c>
      <c r="G14" t="s">
        <v>30</v>
      </c>
      <c r="H14" s="6">
        <v>46130.997608161197</v>
      </c>
      <c r="I14" s="6">
        <v>46144.99760816156</v>
      </c>
      <c r="J14" t="s">
        <v>31</v>
      </c>
      <c r="K14" s="1">
        <v>0</v>
      </c>
    </row>
    <row r="15" spans="1:12" x14ac:dyDescent="0.25">
      <c r="A15" t="s">
        <v>45</v>
      </c>
      <c r="B15" t="s">
        <v>5</v>
      </c>
      <c r="C15" t="s">
        <v>43</v>
      </c>
      <c r="D15" t="s">
        <v>29</v>
      </c>
      <c r="E15" t="s">
        <v>12</v>
      </c>
      <c r="F15" t="s">
        <v>21</v>
      </c>
      <c r="G15" t="s">
        <v>30</v>
      </c>
      <c r="H15" s="6">
        <v>46130.997608165009</v>
      </c>
      <c r="I15" s="6">
        <v>46144.997608165293</v>
      </c>
      <c r="J15" t="s">
        <v>31</v>
      </c>
      <c r="K15" s="1">
        <v>0</v>
      </c>
    </row>
    <row r="16" spans="1:12" x14ac:dyDescent="0.25">
      <c r="A16" t="s">
        <v>46</v>
      </c>
      <c r="B16" t="s">
        <v>5</v>
      </c>
      <c r="C16" t="s">
        <v>43</v>
      </c>
      <c r="D16" t="s">
        <v>29</v>
      </c>
      <c r="E16" t="s">
        <v>12</v>
      </c>
      <c r="F16" t="s">
        <v>21</v>
      </c>
      <c r="G16" t="s">
        <v>30</v>
      </c>
      <c r="H16" s="6">
        <v>46130.997608168633</v>
      </c>
      <c r="I16" s="6">
        <v>46144.997608168916</v>
      </c>
      <c r="J16" t="s">
        <v>31</v>
      </c>
      <c r="K16" s="1">
        <v>0</v>
      </c>
    </row>
    <row r="17" spans="1:11" x14ac:dyDescent="0.25">
      <c r="A17" s="3" t="s">
        <v>47</v>
      </c>
      <c r="B17" s="3" t="s">
        <v>5</v>
      </c>
      <c r="C17" s="3" t="s">
        <v>47</v>
      </c>
      <c r="D17" s="3" t="s">
        <v>29</v>
      </c>
      <c r="E17" s="3" t="s">
        <v>12</v>
      </c>
      <c r="F17" s="3" t="s">
        <v>21</v>
      </c>
      <c r="G17" s="3" t="s">
        <v>30</v>
      </c>
      <c r="H17" s="4">
        <v>46130.997608172191</v>
      </c>
      <c r="I17" s="4">
        <v>46144.997608172547</v>
      </c>
      <c r="J17" s="3" t="s">
        <v>31</v>
      </c>
      <c r="K17" s="5">
        <v>0</v>
      </c>
    </row>
    <row r="18" spans="1:11" x14ac:dyDescent="0.25">
      <c r="A18" t="s">
        <v>48</v>
      </c>
      <c r="B18" t="s">
        <v>5</v>
      </c>
      <c r="C18" t="s">
        <v>47</v>
      </c>
      <c r="D18" t="s">
        <v>29</v>
      </c>
      <c r="E18" t="s">
        <v>12</v>
      </c>
      <c r="F18" t="s">
        <v>21</v>
      </c>
      <c r="G18" t="s">
        <v>30</v>
      </c>
      <c r="H18" s="6">
        <v>46130.997608188067</v>
      </c>
      <c r="I18" s="6">
        <v>46144.997608188343</v>
      </c>
      <c r="J18" t="s">
        <v>31</v>
      </c>
      <c r="K18" s="1">
        <v>0</v>
      </c>
    </row>
    <row r="19" spans="1:11" x14ac:dyDescent="0.25">
      <c r="A19" t="s">
        <v>49</v>
      </c>
      <c r="B19" t="s">
        <v>5</v>
      </c>
      <c r="C19" t="s">
        <v>47</v>
      </c>
      <c r="D19" t="s">
        <v>29</v>
      </c>
      <c r="E19" t="s">
        <v>12</v>
      </c>
      <c r="F19" t="s">
        <v>21</v>
      </c>
      <c r="G19" t="s">
        <v>30</v>
      </c>
      <c r="H19" s="6">
        <v>46130.997608191807</v>
      </c>
      <c r="I19" s="6">
        <v>46144.997608192047</v>
      </c>
      <c r="J19" t="s">
        <v>31</v>
      </c>
      <c r="K19" s="1">
        <v>0</v>
      </c>
    </row>
    <row r="20" spans="1:11" x14ac:dyDescent="0.25">
      <c r="A20" t="s">
        <v>50</v>
      </c>
      <c r="B20" t="s">
        <v>5</v>
      </c>
      <c r="C20" t="s">
        <v>47</v>
      </c>
      <c r="D20" t="s">
        <v>29</v>
      </c>
      <c r="E20" t="s">
        <v>12</v>
      </c>
      <c r="F20" t="s">
        <v>21</v>
      </c>
      <c r="G20" t="s">
        <v>30</v>
      </c>
      <c r="H20" s="6">
        <v>46130.997608195546</v>
      </c>
      <c r="I20" s="6">
        <v>46144.997608195881</v>
      </c>
      <c r="J20" t="s">
        <v>31</v>
      </c>
      <c r="K20" s="1">
        <v>0</v>
      </c>
    </row>
  </sheetData>
  <dataValidations count="6">
    <dataValidation type="list" allowBlank="1" sqref="B2 B3 B4 B5 B6 B7 B8 B9 B10 B11 B12 B13 B14 B15 B16 B17 B18 B19 B20" xr:uid="{00000000-0002-0000-0300-000000000000}">
      <formula1>"Not Started,In Progress,Completed,Overdue"</formula1>
    </dataValidation>
    <dataValidation type="list" allowBlank="1" sqref="C2 C3 C4 C5 C6 C7 C8 C9 C10 C11 C12 C13 C14 C15 C16 C17 C18 C19 C20" xr:uid="{00000000-0002-0000-0300-000001000000}">
      <formula1>"Planning,Requirements,Design,Implementation,Monitoring"</formula1>
    </dataValidation>
    <dataValidation type="list" allowBlank="1" sqref="D2 D3 D4 D5 D6 D7 D8 D9 D10 D11 D12 D13 D14 D15 D16 D17 D18 D19 D20" xr:uid="{00000000-0002-0000-0300-000002000000}">
      <formula1>"admin,development,research,meetings"</formula1>
    </dataValidation>
    <dataValidation type="list" allowBlank="1" sqref="E2 E3 E4 E5 E6 E7 E8 E9 E10 E11 E12 E13 E14 E15 E16 E17 E18 E19 E20" xr:uid="{00000000-0002-0000-0300-000003000000}">
      <formula1>"High,Medium,Low"</formula1>
    </dataValidation>
    <dataValidation type="list" allowBlank="1" sqref="G2 G3 G4 G5 G6 G7 G8 G9 G10 G11 G12 G13 G14 G15 G16 G17 G18 G19 G20" xr:uid="{00000000-0002-0000-0300-000004000000}">
      <formula1>"required,nice to have,should have"</formula1>
    </dataValidation>
    <dataValidation type="list" allowBlank="1" showInputMessage="1" showErrorMessage="1" sqref="L2:L20" xr:uid="{F824C621-DAED-4281-9863-E52D71861541}">
      <formula1>"Must,Should,Could,Wont,Want"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20"/>
  <sheetViews>
    <sheetView tabSelected="1" workbookViewId="0">
      <selection activeCell="A2" sqref="A2:A26"/>
    </sheetView>
  </sheetViews>
  <sheetFormatPr defaultRowHeight="15" x14ac:dyDescent="0.25"/>
  <cols>
    <col min="1" max="1" width="35" customWidth="1"/>
    <col min="2" max="11" width="15" customWidth="1"/>
  </cols>
  <sheetData>
    <row r="1" spans="1:12" x14ac:dyDescent="0.25">
      <c r="A1" s="2" t="s">
        <v>17</v>
      </c>
      <c r="B1" s="2" t="s">
        <v>18</v>
      </c>
      <c r="C1" s="2" t="s">
        <v>19</v>
      </c>
      <c r="D1" s="2" t="s">
        <v>20</v>
      </c>
      <c r="E1" s="2" t="s">
        <v>8</v>
      </c>
      <c r="F1" s="2" t="s">
        <v>21</v>
      </c>
      <c r="G1" s="2" t="s">
        <v>22</v>
      </c>
      <c r="H1" s="2" t="s">
        <v>23</v>
      </c>
      <c r="I1" s="2" t="s">
        <v>24</v>
      </c>
      <c r="J1" s="2" t="s">
        <v>25</v>
      </c>
      <c r="K1" s="2" t="s">
        <v>26</v>
      </c>
      <c r="L1" s="2" t="s">
        <v>53</v>
      </c>
    </row>
    <row r="2" spans="1:12" x14ac:dyDescent="0.25">
      <c r="A2" s="3" t="s">
        <v>27</v>
      </c>
      <c r="B2" s="3" t="s">
        <v>5</v>
      </c>
      <c r="C2" s="3" t="s">
        <v>28</v>
      </c>
      <c r="D2" s="3" t="s">
        <v>29</v>
      </c>
      <c r="E2" s="3" t="s">
        <v>12</v>
      </c>
      <c r="F2" s="3" t="s">
        <v>21</v>
      </c>
      <c r="G2" s="3" t="s">
        <v>30</v>
      </c>
      <c r="H2" s="4">
        <v>46130.997608226367</v>
      </c>
      <c r="I2" s="4">
        <v>46144.997608227022</v>
      </c>
      <c r="J2" s="3" t="s">
        <v>31</v>
      </c>
      <c r="K2" s="5">
        <v>0</v>
      </c>
    </row>
    <row r="3" spans="1:12" x14ac:dyDescent="0.25">
      <c r="A3" t="s">
        <v>32</v>
      </c>
      <c r="B3" t="s">
        <v>5</v>
      </c>
      <c r="C3" t="s">
        <v>28</v>
      </c>
      <c r="D3" t="s">
        <v>29</v>
      </c>
      <c r="E3" t="s">
        <v>12</v>
      </c>
      <c r="F3" t="s">
        <v>21</v>
      </c>
      <c r="G3" t="s">
        <v>30</v>
      </c>
      <c r="H3" s="6">
        <v>46130.997608243793</v>
      </c>
      <c r="I3" s="6">
        <v>46144.997608244259</v>
      </c>
      <c r="J3" t="s">
        <v>31</v>
      </c>
      <c r="K3" s="1">
        <v>0</v>
      </c>
    </row>
    <row r="4" spans="1:12" x14ac:dyDescent="0.25">
      <c r="A4" t="s">
        <v>33</v>
      </c>
      <c r="B4" t="s">
        <v>5</v>
      </c>
      <c r="C4" t="s">
        <v>28</v>
      </c>
      <c r="D4" t="s">
        <v>29</v>
      </c>
      <c r="E4" t="s">
        <v>12</v>
      </c>
      <c r="F4" t="s">
        <v>21</v>
      </c>
      <c r="G4" t="s">
        <v>30</v>
      </c>
      <c r="H4" s="6">
        <v>46130.997608247468</v>
      </c>
      <c r="I4" s="6">
        <v>46144.997608247737</v>
      </c>
      <c r="J4" t="s">
        <v>31</v>
      </c>
      <c r="K4" s="1">
        <v>0</v>
      </c>
    </row>
    <row r="5" spans="1:12" x14ac:dyDescent="0.25">
      <c r="A5" t="s">
        <v>34</v>
      </c>
      <c r="B5" t="s">
        <v>5</v>
      </c>
      <c r="C5" t="s">
        <v>28</v>
      </c>
      <c r="D5" t="s">
        <v>29</v>
      </c>
      <c r="E5" t="s">
        <v>12</v>
      </c>
      <c r="F5" t="s">
        <v>21</v>
      </c>
      <c r="G5" t="s">
        <v>30</v>
      </c>
      <c r="H5" s="6">
        <v>46130.997608252423</v>
      </c>
      <c r="I5" s="6">
        <v>46144.997608252648</v>
      </c>
      <c r="J5" t="s">
        <v>31</v>
      </c>
      <c r="K5" s="1">
        <v>0</v>
      </c>
    </row>
    <row r="6" spans="1:12" x14ac:dyDescent="0.25">
      <c r="A6" s="3" t="s">
        <v>35</v>
      </c>
      <c r="B6" s="3" t="s">
        <v>5</v>
      </c>
      <c r="C6" s="3" t="s">
        <v>36</v>
      </c>
      <c r="D6" s="3" t="s">
        <v>29</v>
      </c>
      <c r="E6" s="3" t="s">
        <v>12</v>
      </c>
      <c r="F6" s="3" t="s">
        <v>21</v>
      </c>
      <c r="G6" s="3" t="s">
        <v>30</v>
      </c>
      <c r="H6" s="4">
        <v>46130.997608256352</v>
      </c>
      <c r="I6" s="4">
        <v>46144.997608256686</v>
      </c>
      <c r="J6" s="3" t="s">
        <v>31</v>
      </c>
      <c r="K6" s="5">
        <v>0</v>
      </c>
    </row>
    <row r="7" spans="1:12" x14ac:dyDescent="0.25">
      <c r="A7" t="s">
        <v>37</v>
      </c>
      <c r="B7" t="s">
        <v>5</v>
      </c>
      <c r="C7" t="s">
        <v>36</v>
      </c>
      <c r="D7" t="s">
        <v>29</v>
      </c>
      <c r="E7" t="s">
        <v>12</v>
      </c>
      <c r="F7" t="s">
        <v>21</v>
      </c>
      <c r="G7" t="s">
        <v>30</v>
      </c>
      <c r="H7" s="6">
        <v>46130.99760827241</v>
      </c>
      <c r="I7" s="6">
        <v>46144.997608272708</v>
      </c>
      <c r="J7" t="s">
        <v>31</v>
      </c>
      <c r="K7" s="1">
        <v>0</v>
      </c>
    </row>
    <row r="8" spans="1:12" x14ac:dyDescent="0.25">
      <c r="A8" t="s">
        <v>38</v>
      </c>
      <c r="B8" t="s">
        <v>5</v>
      </c>
      <c r="C8" t="s">
        <v>36</v>
      </c>
      <c r="D8" t="s">
        <v>29</v>
      </c>
      <c r="E8" t="s">
        <v>12</v>
      </c>
      <c r="F8" t="s">
        <v>21</v>
      </c>
      <c r="G8" t="s">
        <v>30</v>
      </c>
      <c r="H8" s="6">
        <v>46130.997608275553</v>
      </c>
      <c r="I8" s="6">
        <v>46144.997608275757</v>
      </c>
      <c r="J8" t="s">
        <v>31</v>
      </c>
      <c r="K8" s="1">
        <v>0</v>
      </c>
    </row>
    <row r="9" spans="1:12" x14ac:dyDescent="0.25">
      <c r="A9" t="s">
        <v>39</v>
      </c>
      <c r="B9" t="s">
        <v>5</v>
      </c>
      <c r="C9" t="s">
        <v>36</v>
      </c>
      <c r="D9" t="s">
        <v>29</v>
      </c>
      <c r="E9" t="s">
        <v>12</v>
      </c>
      <c r="F9" t="s">
        <v>21</v>
      </c>
      <c r="G9" t="s">
        <v>30</v>
      </c>
      <c r="H9" s="6">
        <v>46130.997608279067</v>
      </c>
      <c r="I9" s="6">
        <v>46144.997608279373</v>
      </c>
      <c r="J9" t="s">
        <v>31</v>
      </c>
      <c r="K9" s="1">
        <v>0</v>
      </c>
    </row>
    <row r="10" spans="1:12" x14ac:dyDescent="0.25">
      <c r="A10" t="s">
        <v>40</v>
      </c>
      <c r="B10" t="s">
        <v>5</v>
      </c>
      <c r="C10" t="s">
        <v>36</v>
      </c>
      <c r="D10" t="s">
        <v>29</v>
      </c>
      <c r="E10" t="s">
        <v>12</v>
      </c>
      <c r="F10" t="s">
        <v>21</v>
      </c>
      <c r="G10" t="s">
        <v>30</v>
      </c>
      <c r="H10" s="6">
        <v>46130.997608282167</v>
      </c>
      <c r="I10" s="6">
        <v>46144.997608282392</v>
      </c>
      <c r="J10" t="s">
        <v>31</v>
      </c>
      <c r="K10" s="1">
        <v>0</v>
      </c>
    </row>
    <row r="11" spans="1:12" x14ac:dyDescent="0.25">
      <c r="A11" s="3" t="s">
        <v>41</v>
      </c>
      <c r="B11" s="3" t="s">
        <v>5</v>
      </c>
      <c r="C11" s="3" t="s">
        <v>41</v>
      </c>
      <c r="D11" s="3" t="s">
        <v>29</v>
      </c>
      <c r="E11" s="3" t="s">
        <v>12</v>
      </c>
      <c r="F11" s="3" t="s">
        <v>21</v>
      </c>
      <c r="G11" s="3" t="s">
        <v>30</v>
      </c>
      <c r="H11" s="4">
        <v>46130.997608285092</v>
      </c>
      <c r="I11" s="4">
        <v>46144.997608285288</v>
      </c>
      <c r="J11" s="3" t="s">
        <v>31</v>
      </c>
      <c r="K11" s="5">
        <v>0</v>
      </c>
    </row>
    <row r="12" spans="1:12" x14ac:dyDescent="0.25">
      <c r="A12" t="s">
        <v>42</v>
      </c>
      <c r="B12" t="s">
        <v>5</v>
      </c>
      <c r="C12" t="s">
        <v>41</v>
      </c>
      <c r="D12" t="s">
        <v>29</v>
      </c>
      <c r="E12" t="s">
        <v>12</v>
      </c>
      <c r="F12" t="s">
        <v>21</v>
      </c>
      <c r="G12" t="s">
        <v>30</v>
      </c>
      <c r="H12" s="6">
        <v>46130.997608301492</v>
      </c>
      <c r="I12" s="6">
        <v>46144.997608301957</v>
      </c>
      <c r="J12" t="s">
        <v>31</v>
      </c>
      <c r="K12" s="1">
        <v>0</v>
      </c>
    </row>
    <row r="13" spans="1:12" x14ac:dyDescent="0.25">
      <c r="A13" s="3" t="s">
        <v>43</v>
      </c>
      <c r="B13" s="3" t="s">
        <v>5</v>
      </c>
      <c r="C13" s="3" t="s">
        <v>43</v>
      </c>
      <c r="D13" s="3" t="s">
        <v>29</v>
      </c>
      <c r="E13" s="3" t="s">
        <v>12</v>
      </c>
      <c r="F13" s="3" t="s">
        <v>21</v>
      </c>
      <c r="G13" s="3" t="s">
        <v>30</v>
      </c>
      <c r="H13" s="4">
        <v>46130.99760830553</v>
      </c>
      <c r="I13" s="4">
        <v>46144.997608305763</v>
      </c>
      <c r="J13" s="3" t="s">
        <v>31</v>
      </c>
      <c r="K13" s="5">
        <v>0</v>
      </c>
    </row>
    <row r="14" spans="1:12" x14ac:dyDescent="0.25">
      <c r="A14" t="s">
        <v>44</v>
      </c>
      <c r="B14" t="s">
        <v>5</v>
      </c>
      <c r="C14" t="s">
        <v>43</v>
      </c>
      <c r="D14" t="s">
        <v>29</v>
      </c>
      <c r="E14" t="s">
        <v>12</v>
      </c>
      <c r="F14" t="s">
        <v>21</v>
      </c>
      <c r="G14" t="s">
        <v>30</v>
      </c>
      <c r="H14" s="6">
        <v>46130.997608320817</v>
      </c>
      <c r="I14" s="6">
        <v>46144.997608321282</v>
      </c>
      <c r="J14" t="s">
        <v>31</v>
      </c>
      <c r="K14" s="1">
        <v>0</v>
      </c>
    </row>
    <row r="15" spans="1:12" x14ac:dyDescent="0.25">
      <c r="A15" t="s">
        <v>45</v>
      </c>
      <c r="B15" t="s">
        <v>5</v>
      </c>
      <c r="C15" t="s">
        <v>43</v>
      </c>
      <c r="D15" t="s">
        <v>29</v>
      </c>
      <c r="E15" t="s">
        <v>12</v>
      </c>
      <c r="F15" t="s">
        <v>21</v>
      </c>
      <c r="G15" t="s">
        <v>30</v>
      </c>
      <c r="H15" s="6">
        <v>46130.997608325233</v>
      </c>
      <c r="I15" s="6">
        <v>46144.997608325553</v>
      </c>
      <c r="J15" t="s">
        <v>31</v>
      </c>
      <c r="K15" s="1">
        <v>0</v>
      </c>
    </row>
    <row r="16" spans="1:12" x14ac:dyDescent="0.25">
      <c r="A16" t="s">
        <v>46</v>
      </c>
      <c r="B16" t="s">
        <v>5</v>
      </c>
      <c r="C16" t="s">
        <v>43</v>
      </c>
      <c r="D16" t="s">
        <v>29</v>
      </c>
      <c r="E16" t="s">
        <v>12</v>
      </c>
      <c r="F16" t="s">
        <v>21</v>
      </c>
      <c r="G16" t="s">
        <v>30</v>
      </c>
      <c r="H16" s="6">
        <v>46130.997608329119</v>
      </c>
      <c r="I16" s="6">
        <v>46144.997608329402</v>
      </c>
      <c r="J16" t="s">
        <v>31</v>
      </c>
      <c r="K16" s="1">
        <v>0</v>
      </c>
    </row>
    <row r="17" spans="1:11" x14ac:dyDescent="0.25">
      <c r="A17" s="3" t="s">
        <v>47</v>
      </c>
      <c r="B17" s="3" t="s">
        <v>5</v>
      </c>
      <c r="C17" s="3" t="s">
        <v>47</v>
      </c>
      <c r="D17" s="3" t="s">
        <v>29</v>
      </c>
      <c r="E17" s="3" t="s">
        <v>12</v>
      </c>
      <c r="F17" s="3" t="s">
        <v>21</v>
      </c>
      <c r="G17" s="3" t="s">
        <v>30</v>
      </c>
      <c r="H17" s="4">
        <v>46130.997608332502</v>
      </c>
      <c r="I17" s="4">
        <v>46144.997608332742</v>
      </c>
      <c r="J17" s="3" t="s">
        <v>31</v>
      </c>
      <c r="K17" s="5">
        <v>0</v>
      </c>
    </row>
    <row r="18" spans="1:11" x14ac:dyDescent="0.25">
      <c r="A18" t="s">
        <v>48</v>
      </c>
      <c r="B18" t="s">
        <v>5</v>
      </c>
      <c r="C18" t="s">
        <v>47</v>
      </c>
      <c r="D18" t="s">
        <v>29</v>
      </c>
      <c r="E18" t="s">
        <v>12</v>
      </c>
      <c r="F18" t="s">
        <v>21</v>
      </c>
      <c r="G18" t="s">
        <v>30</v>
      </c>
      <c r="H18" s="6">
        <v>46130.997608348822</v>
      </c>
      <c r="I18" s="6">
        <v>46144.997608349127</v>
      </c>
      <c r="J18" t="s">
        <v>31</v>
      </c>
      <c r="K18" s="1">
        <v>0</v>
      </c>
    </row>
    <row r="19" spans="1:11" x14ac:dyDescent="0.25">
      <c r="A19" t="s">
        <v>49</v>
      </c>
      <c r="B19" t="s">
        <v>5</v>
      </c>
      <c r="C19" t="s">
        <v>47</v>
      </c>
      <c r="D19" t="s">
        <v>29</v>
      </c>
      <c r="E19" t="s">
        <v>12</v>
      </c>
      <c r="F19" t="s">
        <v>21</v>
      </c>
      <c r="G19" t="s">
        <v>30</v>
      </c>
      <c r="H19" s="6">
        <v>46130.997608352838</v>
      </c>
      <c r="I19" s="6">
        <v>46144.997608353078</v>
      </c>
      <c r="J19" t="s">
        <v>31</v>
      </c>
      <c r="K19" s="1">
        <v>0</v>
      </c>
    </row>
    <row r="20" spans="1:11" x14ac:dyDescent="0.25">
      <c r="A20" t="s">
        <v>50</v>
      </c>
      <c r="B20" t="s">
        <v>5</v>
      </c>
      <c r="C20" t="s">
        <v>47</v>
      </c>
      <c r="D20" t="s">
        <v>29</v>
      </c>
      <c r="E20" t="s">
        <v>12</v>
      </c>
      <c r="F20" t="s">
        <v>21</v>
      </c>
      <c r="G20" t="s">
        <v>30</v>
      </c>
      <c r="H20" s="6">
        <v>46130.997608356462</v>
      </c>
      <c r="I20" s="6">
        <v>46144.997608356687</v>
      </c>
      <c r="J20" t="s">
        <v>31</v>
      </c>
      <c r="K20" s="1">
        <v>0</v>
      </c>
    </row>
  </sheetData>
  <dataValidations count="6">
    <dataValidation type="list" allowBlank="1" sqref="B2 B3 B4 B5 B6 B7 B8 B9 B10 B11 B12 B13 B14 B15 B16 B17 B18 B19 B20" xr:uid="{00000000-0002-0000-0400-000000000000}">
      <formula1>"Not Started,In Progress,Completed,Overdue"</formula1>
    </dataValidation>
    <dataValidation type="list" allowBlank="1" sqref="C2 C3 C4 C5 C6 C7 C8 C9 C10 C11 C12 C13 C14 C15 C16 C17 C18 C19 C20" xr:uid="{00000000-0002-0000-0400-000001000000}">
      <formula1>"Planning,Requirements,Design,Implementation,Monitoring"</formula1>
    </dataValidation>
    <dataValidation type="list" allowBlank="1" sqref="D2 D3 D4 D5 D6 D7 D8 D9 D10 D11 D12 D13 D14 D15 D16 D17 D18 D19 D20" xr:uid="{00000000-0002-0000-0400-000002000000}">
      <formula1>"admin,development,research,meetings"</formula1>
    </dataValidation>
    <dataValidation type="list" allowBlank="1" sqref="E2 E3 E4 E5 E6 E7 E8 E9 E10 E11 E12 E13 E14 E15 E16 E17 E18 E19 E20" xr:uid="{00000000-0002-0000-0400-000003000000}">
      <formula1>"High,Medium,Low"</formula1>
    </dataValidation>
    <dataValidation type="list" allowBlank="1" sqref="G2 G3 G4 G5 G6 G7 G8 G9 G10 G11 G12 G13 G14 G15 G16 G17 G18 G19 G20" xr:uid="{00000000-0002-0000-0400-000004000000}">
      <formula1>"required,nice to have,should have"</formula1>
    </dataValidation>
    <dataValidation type="list" allowBlank="1" showInputMessage="1" showErrorMessage="1" sqref="L2:L20" xr:uid="{15A3960C-1D82-4652-8A84-5E92E5C53912}">
      <formula1>"Must,Should,Could,Wont,Want"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Config</vt:lpstr>
      <vt:lpstr>Dashboard</vt:lpstr>
      <vt:lpstr>Demos</vt:lpstr>
      <vt:lpstr>ODC Cleanup</vt:lpstr>
      <vt:lpstr>Datastore Reclamation</vt:lpstr>
      <vt:lpstr>Retired VM Cleanup</vt:lpstr>
      <vt:lpstr>Zerto Scripts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Jacob Weber</cp:lastModifiedBy>
  <dcterms:created xsi:type="dcterms:W3CDTF">2026-04-18T23:56:33Z</dcterms:created>
  <dcterms:modified xsi:type="dcterms:W3CDTF">2026-04-22T15:17:08Z</dcterms:modified>
</cp:coreProperties>
</file>